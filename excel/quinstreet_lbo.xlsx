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Inputs" sheetId="2" state="visible" r:id="rId4"/>
    <sheet name="Model"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<sst xmlns="http://schemas.openxmlformats.org/spreadsheetml/2006/main" count="195" uniqueCount="166">
  <si>
    <t xml:space="preserve">QuinStreet LBO - purpose and method</t>
  </si>
  <si>
    <t xml:space="preserve">Tests whether Ridgeline Capital (fictional $2B fund) could buy QuinStreet (QNST) and earn its target return, and solves for the maximum price it could pay.</t>
  </si>
  <si>
    <t xml:space="preserve">QuinStreet was the top-ranked eligible company in the screen (docs/scoring_methodology.md).</t>
  </si>
  <si>
    <t xml:space="preserve">Key modeling choices</t>
  </si>
  <si>
    <t xml:space="preserve">1. EBITDA is strict (operating income + D&amp;A). Stock-based compensation is treated as a real cost, assumed replaced by cash pay after the buyout.</t>
  </si>
  <si>
    <t xml:space="preserve">2. Lenders may add back stock-based compensation when sizing debt (switch on Inputs). This raises debt and risk.</t>
  </si>
  <si>
    <t xml:space="preserve">3. Capex includes capitalized internal software development ($10.9M in FY2026), which the screen's CapEx metric excluded.</t>
  </si>
  <si>
    <t xml:space="preserve">4. Interest is charged on beginning-of-year debt to avoid a circular reference.</t>
  </si>
  <si>
    <t xml:space="preserve">5. No dividends during the hold, so IRR = MOIC^(1/years) - 1.</t>
  </si>
  <si>
    <t xml:space="preserve">6. Exit at today's market EV/EBITDA, with no control premium at exit.</t>
  </si>
  <si>
    <t xml:space="preserve">Limitations</t>
  </si>
  <si>
    <t xml:space="preserve">Annual model; simplified tax (no use of tax losses); one senior loan; illustrative interest rate; base-case operating assumptions are judgments, not forecasts.</t>
  </si>
  <si>
    <t xml:space="preserve">Share price is a single day's close (2026-10-23). Not investment advice.</t>
  </si>
  <si>
    <t xml:space="preserve">QuinStreet (QNST) LBO - Inputs</t>
  </si>
  <si>
    <t xml:space="preserve">$ millions unless stated. Blue = hard-coded input; black = formula; yellow fill = key assumption to flex.</t>
  </si>
  <si>
    <t xml:space="preserve">Item</t>
  </si>
  <si>
    <t xml:space="preserve">Value</t>
  </si>
  <si>
    <t xml:space="preserve">Unit</t>
  </si>
  <si>
    <t xml:space="preserve">Source / rationale</t>
  </si>
  <si>
    <t xml:space="preserve">Market data</t>
  </si>
  <si>
    <t xml:space="preserve">Current share price</t>
  </si>
  <si>
    <t xml:space="preserve">$ / share</t>
  </si>
  <si>
    <t xml:space="preserve">Nasdaq.com historical quotes, close 2026-10-23 (data/raw/share_prices.csv)</t>
  </si>
  <si>
    <t xml:space="preserve">Shares outstanding</t>
  </si>
  <si>
    <t xml:space="preserve">millions</t>
  </si>
  <si>
    <t xml:space="preserve">10-K FY2026 cover page, shares as of 2026-08-21 (SEC dei data)</t>
  </si>
  <si>
    <t xml:space="preserve">Offer premium to current price</t>
  </si>
  <si>
    <t xml:space="preserve">%</t>
  </si>
  <si>
    <t xml:space="preserve">Assumption: typical take-private premium of 20-40%</t>
  </si>
  <si>
    <t xml:space="preserve">FY2026 actuals (fiscal year ended June 30, 2026)</t>
  </si>
  <si>
    <t xml:space="preserve">Revenue</t>
  </si>
  <si>
    <t xml:space="preserve">$M</t>
  </si>
  <si>
    <t xml:space="preserve">QNST 10-K FY2026, income statement</t>
  </si>
  <si>
    <t xml:space="preserve">EBITDA (strict: operating income + D&amp;A)</t>
  </si>
  <si>
    <t xml:space="preserve">Calculated in src/metrics.py; SBC treated as a real cost</t>
  </si>
  <si>
    <t xml:space="preserve">Depreciation and amortization</t>
  </si>
  <si>
    <t xml:space="preserve">QNST 10-K FY2026, cash flow statement</t>
  </si>
  <si>
    <t xml:space="preserve">Stock-based compensation</t>
  </si>
  <si>
    <t xml:space="preserve">Capital expenditures</t>
  </si>
  <si>
    <t xml:space="preserve">Capitalized internal software development</t>
  </si>
  <si>
    <t xml:space="preserve">QNST 10-K FY2026, cash flow statement (treated as capex in this model)</t>
  </si>
  <si>
    <t xml:space="preserve">Cash and cash equivalents</t>
  </si>
  <si>
    <t xml:space="preserve">QNST 10-K FY2026, balance sheet</t>
  </si>
  <si>
    <t xml:space="preserve">Existing debt (revolver borrowings)</t>
  </si>
  <si>
    <t xml:space="preserve">QNST 10-K FY2026; repaid at closing</t>
  </si>
  <si>
    <t xml:space="preserve">Transaction and financing assumptions</t>
  </si>
  <si>
    <t xml:space="preserve">Minimum operating cash kept in the business</t>
  </si>
  <si>
    <t xml:space="preserve">Assumption</t>
  </si>
  <si>
    <t xml:space="preserve">Transaction and financing fees</t>
  </si>
  <si>
    <t xml:space="preserve">% of purchase equity</t>
  </si>
  <si>
    <t xml:space="preserve">Lenders add back SBC? (1 = yes, 0 = no)</t>
  </si>
  <si>
    <t xml:space="preserve">switch</t>
  </si>
  <si>
    <t xml:space="preserve">Assumption: market practice is to lend on adjusted EBITDA</t>
  </si>
  <si>
    <t xml:space="preserve">Senior term loan</t>
  </si>
  <si>
    <t xml:space="preserve">x lending EBITDA</t>
  </si>
  <si>
    <t xml:space="preserve">Assumption: typical for a mid-sized services business</t>
  </si>
  <si>
    <t xml:space="preserve">Interest rate on senior debt</t>
  </si>
  <si>
    <t xml:space="preserve">% per year</t>
  </si>
  <si>
    <t xml:space="preserve">Assumption (illustrative base rate + spread)</t>
  </si>
  <si>
    <t xml:space="preserve">Mandatory amortization</t>
  </si>
  <si>
    <t xml:space="preserve">% of original loan / year</t>
  </si>
  <si>
    <t xml:space="preserve">Assumption: typical term loan</t>
  </si>
  <si>
    <t xml:space="preserve">Cash sweep</t>
  </si>
  <si>
    <t xml:space="preserve">% of excess cash used to repay debt</t>
  </si>
  <si>
    <t xml:space="preserve">Tax rate</t>
  </si>
  <si>
    <t xml:space="preserve">Same assumption as the screen (mandate, section 7)</t>
  </si>
  <si>
    <t xml:space="preserve">Ridgeline maximum equity per deal</t>
  </si>
  <si>
    <t xml:space="preserve">Mandate, section 1 ($2B fund, 6-10 deals)</t>
  </si>
  <si>
    <t xml:space="preserve">Target IRR</t>
  </si>
  <si>
    <t xml:space="preserve">Assumption: common PE return hurdle</t>
  </si>
  <si>
    <t xml:space="preserve">Operating assumptions (FY2027-FY2031, base case)</t>
  </si>
  <si>
    <t xml:space="preserve">Revenue growth per year</t>
  </si>
  <si>
    <t xml:space="preserve">Assumption: organic growth well below the 30.6% CAGR, which was partly acquired</t>
  </si>
  <si>
    <t xml:space="preserve">EBITDA margin reached in FY2031 (strict)</t>
  </si>
  <si>
    <t xml:space="preserve">Assumption: modest improvement from 4.7% (value-creation case)</t>
  </si>
  <si>
    <t xml:space="preserve">D&amp;A</t>
  </si>
  <si>
    <t xml:space="preserve">% of revenue</t>
  </si>
  <si>
    <t xml:space="preserve">Held at FY2026 level</t>
  </si>
  <si>
    <t xml:space="preserve">Capex incl. capitalized software</t>
  </si>
  <si>
    <t xml:space="preserve">Change in working capital</t>
  </si>
  <si>
    <t xml:space="preserve">% of revenue increase</t>
  </si>
  <si>
    <t xml:space="preserve">Exit multiple</t>
  </si>
  <si>
    <t xml:space="preserve">x EBITDA (strict)</t>
  </si>
  <si>
    <t xml:space="preserve">Assumption: today's market multiple (Model row 18), no control premium at exit</t>
  </si>
  <si>
    <t xml:space="preserve">QuinStreet (QNST) LBO - Model</t>
  </si>
  <si>
    <t xml:space="preserve">$ millions unless stated. Green = link to Inputs; black = formula. Every value traces to the Inputs sheet.</t>
  </si>
  <si>
    <t xml:space="preserve">A. Purchase price</t>
  </si>
  <si>
    <t xml:space="preserve">Current share price ($)</t>
  </si>
  <si>
    <t xml:space="preserve">Offer premium</t>
  </si>
  <si>
    <t xml:space="preserve">Offer price per share ($)</t>
  </si>
  <si>
    <t xml:space="preserve">Shares outstanding (millions)</t>
  </si>
  <si>
    <t xml:space="preserve">Offer equity value</t>
  </si>
  <si>
    <t xml:space="preserve">Plus: existing debt</t>
  </si>
  <si>
    <t xml:space="preserve">Less: cash</t>
  </si>
  <si>
    <t xml:space="preserve">Entry enterprise value</t>
  </si>
  <si>
    <t xml:space="preserve">FY2026 EBITDA (strict)</t>
  </si>
  <si>
    <t xml:space="preserve">Entry EV / EBITDA (strict)</t>
  </si>
  <si>
    <t xml:space="preserve">Lending EBITDA (strict + SBC if lenders add it back)</t>
  </si>
  <si>
    <t xml:space="preserve">Entry EV / lending EBITDA</t>
  </si>
  <si>
    <t xml:space="preserve">Memo: current market enterprise value (no premium)</t>
  </si>
  <si>
    <t xml:space="preserve">Memo: current market EV / EBITDA (strict)</t>
  </si>
  <si>
    <t xml:space="preserve">B. Sources and uses at closing</t>
  </si>
  <si>
    <t xml:space="preserve">Uses</t>
  </si>
  <si>
    <t xml:space="preserve">Purchase of equity</t>
  </si>
  <si>
    <t xml:space="preserve">Refinance existing debt</t>
  </si>
  <si>
    <t xml:space="preserve">Total uses</t>
  </si>
  <si>
    <t xml:space="preserve">Sources</t>
  </si>
  <si>
    <t xml:space="preserve">Excess cash on the balance sheet</t>
  </si>
  <si>
    <t xml:space="preserve">Ridgeline equity</t>
  </si>
  <si>
    <t xml:space="preserve">Total sources</t>
  </si>
  <si>
    <t xml:space="preserve">Check: sources - uses (must be 0)</t>
  </si>
  <si>
    <t xml:space="preserve">Equity within Ridgeline's limit?</t>
  </si>
  <si>
    <t xml:space="preserve">Senior debt / FY2026 EBITDA (strict)</t>
  </si>
  <si>
    <t xml:space="preserve">C. Operating projections (fiscal years end June 30)</t>
  </si>
  <si>
    <t xml:space="preserve">Fiscal year</t>
  </si>
  <si>
    <t xml:space="preserve">FY2026A</t>
  </si>
  <si>
    <t xml:space="preserve">FY2027E</t>
  </si>
  <si>
    <t xml:space="preserve">FY2028E</t>
  </si>
  <si>
    <t xml:space="preserve">FY2029E</t>
  </si>
  <si>
    <t xml:space="preserve">FY2030E</t>
  </si>
  <si>
    <t xml:space="preserve">FY2031E</t>
  </si>
  <si>
    <t xml:space="preserve">Years since closing</t>
  </si>
  <si>
    <t xml:space="preserve">Revenue growth</t>
  </si>
  <si>
    <t xml:space="preserve">EBITDA margin</t>
  </si>
  <si>
    <t xml:space="preserve">EBITDA (strict)</t>
  </si>
  <si>
    <t xml:space="preserve">EBIT (operating income)</t>
  </si>
  <si>
    <t xml:space="preserve">Interest expense (on beginning debt)</t>
  </si>
  <si>
    <t xml:space="preserve">Pre-tax income</t>
  </si>
  <si>
    <t xml:space="preserve">Taxes</t>
  </si>
  <si>
    <t xml:space="preserve">Increase in working capital</t>
  </si>
  <si>
    <t xml:space="preserve">Cash available for debt repayment</t>
  </si>
  <si>
    <t xml:space="preserve">D. Debt schedule (column C = at closing)</t>
  </si>
  <si>
    <t xml:space="preserve">Beginning debt</t>
  </si>
  <si>
    <t xml:space="preserve">Cash sweep (optional repayment)</t>
  </si>
  <si>
    <t xml:space="preserve">Ending debt</t>
  </si>
  <si>
    <t xml:space="preserve">Beginning cash</t>
  </si>
  <si>
    <t xml:space="preserve">Ending cash</t>
  </si>
  <si>
    <t xml:space="preserve">Net debt (debt - cash)</t>
  </si>
  <si>
    <t xml:space="preserve">Net debt / EBITDA</t>
  </si>
  <si>
    <t xml:space="preserve">E. Exit (end of FY2031) and returns</t>
  </si>
  <si>
    <t xml:space="preserve">Exit-year EBITDA (FY2031, strict)</t>
  </si>
  <si>
    <t xml:space="preserve">Exit multiple (x EBITDA)</t>
  </si>
  <si>
    <t xml:space="preserve">Exit enterprise value</t>
  </si>
  <si>
    <t xml:space="preserve">Less: debt at exit</t>
  </si>
  <si>
    <t xml:space="preserve">Plus: cash at exit</t>
  </si>
  <si>
    <t xml:space="preserve">Exit equity value</t>
  </si>
  <si>
    <t xml:space="preserve">Ridgeline equity invested</t>
  </si>
  <si>
    <t xml:space="preserve">MOIC (multiple on invested capital)</t>
  </si>
  <si>
    <t xml:space="preserve">IRR (single entry and exit cash flow: MOIC^(1/years) - 1)</t>
  </si>
  <si>
    <t xml:space="preserve">Meets target IRR?</t>
  </si>
  <si>
    <t xml:space="preserve">F. Where the return comes from (value creation bridge)</t>
  </si>
  <si>
    <t xml:space="preserve">EBITDA growth  [(exit EBITDA - entry EBITDA) x entry multiple]</t>
  </si>
  <si>
    <t xml:space="preserve">Multiple change  [(exit multiple - entry multiple) x exit EBITDA]</t>
  </si>
  <si>
    <t xml:space="preserve">Net debt paydown  [net debt at close - net debt at exit]</t>
  </si>
  <si>
    <t xml:space="preserve">Fees paid at closing</t>
  </si>
  <si>
    <t xml:space="preserve">Total gain to Ridgeline</t>
  </si>
  <si>
    <t xml:space="preserve">Check: total gain - (exit equity - equity invested) (must be 0)</t>
  </si>
  <si>
    <t xml:space="preserve">G. What could Ridgeline pay?</t>
  </si>
  <si>
    <t xml:space="preserve">Maximum equity that still earns the target IRR</t>
  </si>
  <si>
    <t xml:space="preserve">Maximum price per share at target IRR ($)</t>
  </si>
  <si>
    <t xml:space="preserve">Maximum price per share within Ridgeline's equity limit ($)</t>
  </si>
  <si>
    <t xml:space="preserve">Maximum price Ridgeline could pay ($)</t>
  </si>
  <si>
    <t xml:space="preserve">Binding constraint</t>
  </si>
  <si>
    <t xml:space="preserve">Premium / (discount) to current share price</t>
  </si>
  <si>
    <t xml:space="preserve">Verdict</t>
  </si>
  <si>
    <t xml:space="preserve">Note: debt depends on EBITDA, not on the price paid, so exit equity does not change with the offer price. That is why the maximum price can be solved directly, without Goal Seek.</t>
  </si>
</sst>
</file>

<file path=xl/styles.xml><?xml version="1.0" encoding="utf-8"?>
<styleSheet xmlns="http://schemas.openxmlformats.org/spreadsheetml/2006/main">
  <numFmts count="8">
    <numFmt numFmtId="164" formatCode="General"/>
    <numFmt numFmtId="165" formatCode="\$#,##0.00;&quot;($&quot;#,##0.00\)"/>
    <numFmt numFmtId="166" formatCode="#,##0.0;\(#,##0.0\);\-"/>
    <numFmt numFmtId="167" formatCode="0.0%;\(0.0%\);\-"/>
    <numFmt numFmtId="168" formatCode="0"/>
    <numFmt numFmtId="169" formatCode="0.0\x;\(0.0&quot;x)&quot;;\-"/>
    <numFmt numFmtId="170" formatCode="@"/>
    <numFmt numFmtId="171" formatCode="0.00\x"/>
  </numFmts>
  <fonts count="13">
    <font>
      <sz val="11"/>
      <color theme="1"/>
      <name val="Calibri"/>
      <family val="2"/>
      <charset val="1"/>
    </font>
    <font>
      <sz val="10"/>
      <name val="Arial"/>
      <family val="0"/>
    </font>
    <font>
      <sz val="10"/>
      <name val="Arial"/>
      <family val="0"/>
    </font>
    <font>
      <sz val="10"/>
      <name val="Arial"/>
      <family val="0"/>
    </font>
    <font>
      <b val="true"/>
      <sz val="12"/>
      <color rgb="FF000000"/>
      <name val="Arial"/>
      <family val="0"/>
      <charset val="1"/>
    </font>
    <font>
      <sz val="10"/>
      <color rgb="FF000000"/>
      <name val="Arial"/>
      <family val="0"/>
      <charset val="1"/>
    </font>
    <font>
      <b val="true"/>
      <sz val="10"/>
      <color rgb="FF000000"/>
      <name val="Arial"/>
      <family val="0"/>
      <charset val="1"/>
    </font>
    <font>
      <b val="true"/>
      <sz val="14"/>
      <color rgb="FF000000"/>
      <name val="Arial"/>
      <family val="0"/>
      <charset val="1"/>
    </font>
    <font>
      <i val="true"/>
      <sz val="10"/>
      <color rgb="FF00000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i val="true"/>
      <sz val="10"/>
      <color rgb="FF0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4" borderId="0" xfId="0" applyFont="true" applyBorder="false" applyAlignment="false" applyProtection="false">
      <alignment horizontal="general" vertical="bottom" textRotation="0" wrapText="false" indent="0" shrinkToFit="false"/>
      <protection locked="true" hidden="false"/>
    </xf>
    <xf numFmtId="169" fontId="10" fillId="4"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3"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row>
    <row r="13" customFormat="false" ht="15" hidden="false" customHeight="false" outlineLevel="0" collapsed="false">
      <c r="A13" s="3" t="s">
        <v>10</v>
      </c>
    </row>
    <row r="14" customFormat="false" ht="15" hidden="false" customHeight="false" outlineLevel="0" collapsed="false">
      <c r="A14" s="2" t="s">
        <v>11</v>
      </c>
    </row>
    <row r="15" customFormat="false" ht="15" hidden="false" customHeight="false" outlineLevel="0" collapsed="false">
      <c r="A15"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26"/>
    <col collapsed="false" customWidth="true" hidden="false" outlineLevel="0" max="4" min="4" style="0" width="78"/>
  </cols>
  <sheetData>
    <row r="1" customFormat="false" ht="17.35" hidden="false" customHeight="false" outlineLevel="0" collapsed="false">
      <c r="A1" s="4" t="s">
        <v>13</v>
      </c>
    </row>
    <row r="2" customFormat="false" ht="15" hidden="false" customHeight="false" outlineLevel="0" collapsed="false">
      <c r="A2" s="5" t="s">
        <v>14</v>
      </c>
    </row>
    <row r="4" customFormat="false" ht="15" hidden="false" customHeight="false" outlineLevel="0" collapsed="false">
      <c r="A4" s="6" t="s">
        <v>15</v>
      </c>
      <c r="B4" s="6" t="s">
        <v>16</v>
      </c>
      <c r="C4" s="6" t="s">
        <v>17</v>
      </c>
      <c r="D4" s="6" t="s">
        <v>18</v>
      </c>
    </row>
    <row r="5" customFormat="false" ht="15" hidden="false" customHeight="false" outlineLevel="0" collapsed="false">
      <c r="A5" s="7" t="s">
        <v>19</v>
      </c>
      <c r="B5" s="8"/>
      <c r="C5" s="8"/>
      <c r="D5" s="8"/>
    </row>
    <row r="6" customFormat="false" ht="15" hidden="false" customHeight="false" outlineLevel="0" collapsed="false">
      <c r="A6" s="2" t="s">
        <v>20</v>
      </c>
      <c r="B6" s="9" t="n">
        <v>16.52</v>
      </c>
      <c r="C6" s="2" t="s">
        <v>21</v>
      </c>
      <c r="D6" s="2" t="s">
        <v>22</v>
      </c>
    </row>
    <row r="7" customFormat="false" ht="15" hidden="false" customHeight="false" outlineLevel="0" collapsed="false">
      <c r="A7" s="2" t="s">
        <v>23</v>
      </c>
      <c r="B7" s="10" t="n">
        <v>57.1</v>
      </c>
      <c r="C7" s="2" t="s">
        <v>24</v>
      </c>
      <c r="D7" s="2" t="s">
        <v>25</v>
      </c>
    </row>
    <row r="8" customFormat="false" ht="15" hidden="false" customHeight="false" outlineLevel="0" collapsed="false">
      <c r="A8" s="2" t="s">
        <v>26</v>
      </c>
      <c r="B8" s="11" t="n">
        <v>0.3</v>
      </c>
      <c r="C8" s="2" t="s">
        <v>27</v>
      </c>
      <c r="D8" s="2" t="s">
        <v>28</v>
      </c>
    </row>
    <row r="10" customFormat="false" ht="15" hidden="false" customHeight="false" outlineLevel="0" collapsed="false">
      <c r="A10" s="7" t="s">
        <v>29</v>
      </c>
      <c r="B10" s="8"/>
      <c r="C10" s="8"/>
      <c r="D10" s="8"/>
    </row>
    <row r="11" customFormat="false" ht="15" hidden="false" customHeight="false" outlineLevel="0" collapsed="false">
      <c r="A11" s="2" t="s">
        <v>30</v>
      </c>
      <c r="B11" s="10" t="n">
        <v>1293.7</v>
      </c>
      <c r="C11" s="2" t="s">
        <v>31</v>
      </c>
      <c r="D11" s="2" t="s">
        <v>32</v>
      </c>
    </row>
    <row r="12" customFormat="false" ht="15" hidden="false" customHeight="false" outlineLevel="0" collapsed="false">
      <c r="A12" s="2" t="s">
        <v>33</v>
      </c>
      <c r="B12" s="10" t="n">
        <v>60.6</v>
      </c>
      <c r="C12" s="2" t="s">
        <v>31</v>
      </c>
      <c r="D12" s="2" t="s">
        <v>34</v>
      </c>
    </row>
    <row r="13" customFormat="false" ht="15" hidden="false" customHeight="false" outlineLevel="0" collapsed="false">
      <c r="A13" s="2" t="s">
        <v>35</v>
      </c>
      <c r="B13" s="10" t="n">
        <v>25.2</v>
      </c>
      <c r="C13" s="2" t="s">
        <v>31</v>
      </c>
      <c r="D13" s="2" t="s">
        <v>36</v>
      </c>
    </row>
    <row r="14" customFormat="false" ht="15" hidden="false" customHeight="false" outlineLevel="0" collapsed="false">
      <c r="A14" s="2" t="s">
        <v>37</v>
      </c>
      <c r="B14" s="10" t="n">
        <v>37.4</v>
      </c>
      <c r="C14" s="2" t="s">
        <v>31</v>
      </c>
      <c r="D14" s="2" t="s">
        <v>36</v>
      </c>
    </row>
    <row r="15" customFormat="false" ht="15" hidden="false" customHeight="false" outlineLevel="0" collapsed="false">
      <c r="A15" s="2" t="s">
        <v>38</v>
      </c>
      <c r="B15" s="10" t="n">
        <v>3.4</v>
      </c>
      <c r="C15" s="2" t="s">
        <v>31</v>
      </c>
      <c r="D15" s="2" t="s">
        <v>36</v>
      </c>
    </row>
    <row r="16" customFormat="false" ht="15" hidden="false" customHeight="false" outlineLevel="0" collapsed="false">
      <c r="A16" s="2" t="s">
        <v>39</v>
      </c>
      <c r="B16" s="10" t="n">
        <v>10.9</v>
      </c>
      <c r="C16" s="2" t="s">
        <v>31</v>
      </c>
      <c r="D16" s="2" t="s">
        <v>40</v>
      </c>
    </row>
    <row r="17" customFormat="false" ht="15" hidden="false" customHeight="false" outlineLevel="0" collapsed="false">
      <c r="A17" s="2" t="s">
        <v>41</v>
      </c>
      <c r="B17" s="10" t="n">
        <v>128.3</v>
      </c>
      <c r="C17" s="2" t="s">
        <v>31</v>
      </c>
      <c r="D17" s="2" t="s">
        <v>42</v>
      </c>
    </row>
    <row r="18" customFormat="false" ht="15" hidden="false" customHeight="false" outlineLevel="0" collapsed="false">
      <c r="A18" s="2" t="s">
        <v>43</v>
      </c>
      <c r="B18" s="10" t="n">
        <v>70</v>
      </c>
      <c r="C18" s="2" t="s">
        <v>31</v>
      </c>
      <c r="D18" s="2" t="s">
        <v>44</v>
      </c>
    </row>
    <row r="20" customFormat="false" ht="15" hidden="false" customHeight="false" outlineLevel="0" collapsed="false">
      <c r="A20" s="7" t="s">
        <v>45</v>
      </c>
      <c r="B20" s="8"/>
      <c r="C20" s="8"/>
      <c r="D20" s="8"/>
    </row>
    <row r="21" customFormat="false" ht="15" hidden="false" customHeight="false" outlineLevel="0" collapsed="false">
      <c r="A21" s="2" t="s">
        <v>46</v>
      </c>
      <c r="B21" s="10" t="n">
        <v>30</v>
      </c>
      <c r="C21" s="2" t="s">
        <v>31</v>
      </c>
      <c r="D21" s="2" t="s">
        <v>47</v>
      </c>
    </row>
    <row r="22" customFormat="false" ht="15" hidden="false" customHeight="false" outlineLevel="0" collapsed="false">
      <c r="A22" s="2" t="s">
        <v>48</v>
      </c>
      <c r="B22" s="12" t="n">
        <v>0.03</v>
      </c>
      <c r="C22" s="2" t="s">
        <v>49</v>
      </c>
      <c r="D22" s="2" t="s">
        <v>47</v>
      </c>
    </row>
    <row r="23" customFormat="false" ht="15" hidden="false" customHeight="false" outlineLevel="0" collapsed="false">
      <c r="A23" s="2" t="s">
        <v>50</v>
      </c>
      <c r="B23" s="13" t="n">
        <v>1</v>
      </c>
      <c r="C23" s="2" t="s">
        <v>51</v>
      </c>
      <c r="D23" s="2" t="s">
        <v>52</v>
      </c>
    </row>
    <row r="24" customFormat="false" ht="15" hidden="false" customHeight="false" outlineLevel="0" collapsed="false">
      <c r="A24" s="2" t="s">
        <v>53</v>
      </c>
      <c r="B24" s="14" t="n">
        <v>4.5</v>
      </c>
      <c r="C24" s="2" t="s">
        <v>54</v>
      </c>
      <c r="D24" s="2" t="s">
        <v>55</v>
      </c>
    </row>
    <row r="25" customFormat="false" ht="15" hidden="false" customHeight="false" outlineLevel="0" collapsed="false">
      <c r="A25" s="2" t="s">
        <v>56</v>
      </c>
      <c r="B25" s="12" t="n">
        <v>0.085</v>
      </c>
      <c r="C25" s="2" t="s">
        <v>57</v>
      </c>
      <c r="D25" s="2" t="s">
        <v>58</v>
      </c>
    </row>
    <row r="26" customFormat="false" ht="15" hidden="false" customHeight="false" outlineLevel="0" collapsed="false">
      <c r="A26" s="2" t="s">
        <v>59</v>
      </c>
      <c r="B26" s="12" t="n">
        <v>0.01</v>
      </c>
      <c r="C26" s="2" t="s">
        <v>60</v>
      </c>
      <c r="D26" s="2" t="s">
        <v>61</v>
      </c>
    </row>
    <row r="27" customFormat="false" ht="15" hidden="false" customHeight="false" outlineLevel="0" collapsed="false">
      <c r="A27" s="2" t="s">
        <v>62</v>
      </c>
      <c r="B27" s="12" t="n">
        <v>1</v>
      </c>
      <c r="C27" s="2" t="s">
        <v>63</v>
      </c>
      <c r="D27" s="2" t="s">
        <v>47</v>
      </c>
    </row>
    <row r="28" customFormat="false" ht="15" hidden="false" customHeight="false" outlineLevel="0" collapsed="false">
      <c r="A28" s="2" t="s">
        <v>64</v>
      </c>
      <c r="B28" s="12" t="n">
        <v>0.25</v>
      </c>
      <c r="C28" s="2" t="s">
        <v>27</v>
      </c>
      <c r="D28" s="2" t="s">
        <v>65</v>
      </c>
    </row>
    <row r="29" customFormat="false" ht="15" hidden="false" customHeight="false" outlineLevel="0" collapsed="false">
      <c r="A29" s="2" t="s">
        <v>66</v>
      </c>
      <c r="B29" s="10" t="n">
        <v>330</v>
      </c>
      <c r="C29" s="2" t="s">
        <v>31</v>
      </c>
      <c r="D29" s="2" t="s">
        <v>67</v>
      </c>
    </row>
    <row r="30" customFormat="false" ht="15" hidden="false" customHeight="false" outlineLevel="0" collapsed="false">
      <c r="A30" s="2" t="s">
        <v>68</v>
      </c>
      <c r="B30" s="11" t="n">
        <v>0.2</v>
      </c>
      <c r="C30" s="2" t="s">
        <v>57</v>
      </c>
      <c r="D30" s="2" t="s">
        <v>69</v>
      </c>
    </row>
    <row r="32" customFormat="false" ht="15" hidden="false" customHeight="false" outlineLevel="0" collapsed="false">
      <c r="A32" s="7" t="s">
        <v>70</v>
      </c>
      <c r="B32" s="8"/>
      <c r="C32" s="8"/>
      <c r="D32" s="8"/>
    </row>
    <row r="33" customFormat="false" ht="15" hidden="false" customHeight="false" outlineLevel="0" collapsed="false">
      <c r="A33" s="2" t="s">
        <v>71</v>
      </c>
      <c r="B33" s="11" t="n">
        <v>0.08</v>
      </c>
      <c r="C33" s="2" t="s">
        <v>27</v>
      </c>
      <c r="D33" s="2" t="s">
        <v>72</v>
      </c>
    </row>
    <row r="34" customFormat="false" ht="15" hidden="false" customHeight="false" outlineLevel="0" collapsed="false">
      <c r="A34" s="2" t="s">
        <v>73</v>
      </c>
      <c r="B34" s="11" t="n">
        <v>0.06</v>
      </c>
      <c r="C34" s="2" t="s">
        <v>27</v>
      </c>
      <c r="D34" s="2" t="s">
        <v>74</v>
      </c>
    </row>
    <row r="35" customFormat="false" ht="15" hidden="false" customHeight="false" outlineLevel="0" collapsed="false">
      <c r="A35" s="2" t="s">
        <v>75</v>
      </c>
      <c r="B35" s="15" t="n">
        <f aca="false">B13/B11</f>
        <v>0.0194790136816882</v>
      </c>
      <c r="C35" s="2" t="s">
        <v>76</v>
      </c>
      <c r="D35" s="2" t="s">
        <v>77</v>
      </c>
    </row>
    <row r="36" customFormat="false" ht="15" hidden="false" customHeight="false" outlineLevel="0" collapsed="false">
      <c r="A36" s="2" t="s">
        <v>78</v>
      </c>
      <c r="B36" s="15" t="n">
        <f aca="false">(B15+B16)/B11</f>
        <v>0.0110535672876246</v>
      </c>
      <c r="C36" s="2" t="s">
        <v>76</v>
      </c>
      <c r="D36" s="2" t="s">
        <v>77</v>
      </c>
    </row>
    <row r="37" customFormat="false" ht="15" hidden="false" customHeight="false" outlineLevel="0" collapsed="false">
      <c r="A37" s="2" t="s">
        <v>79</v>
      </c>
      <c r="B37" s="12" t="n">
        <v>0.05</v>
      </c>
      <c r="C37" s="2" t="s">
        <v>80</v>
      </c>
      <c r="D37" s="2" t="s">
        <v>47</v>
      </c>
    </row>
    <row r="38" customFormat="false" ht="15" hidden="false" customHeight="false" outlineLevel="0" collapsed="false">
      <c r="A38" s="2" t="s">
        <v>81</v>
      </c>
      <c r="B38" s="14" t="n">
        <v>14.6</v>
      </c>
      <c r="C38" s="2" t="s">
        <v>82</v>
      </c>
      <c r="D38" s="2"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8" min="3" style="0" width="13"/>
  </cols>
  <sheetData>
    <row r="1" customFormat="false" ht="17.35" hidden="false" customHeight="false" outlineLevel="0" collapsed="false">
      <c r="A1" s="4" t="s">
        <v>84</v>
      </c>
    </row>
    <row r="2" customFormat="false" ht="15" hidden="false" customHeight="false" outlineLevel="0" collapsed="false">
      <c r="A2" s="5" t="s">
        <v>85</v>
      </c>
    </row>
    <row r="4" customFormat="false" ht="15" hidden="false" customHeight="false" outlineLevel="0" collapsed="false">
      <c r="A4" s="7" t="s">
        <v>86</v>
      </c>
      <c r="B4" s="8"/>
      <c r="C4" s="8"/>
      <c r="D4" s="8"/>
      <c r="E4" s="8"/>
      <c r="F4" s="8"/>
      <c r="G4" s="8"/>
      <c r="H4" s="8"/>
    </row>
    <row r="5" customFormat="false" ht="15" hidden="false" customHeight="false" outlineLevel="0" collapsed="false">
      <c r="A5" s="2" t="s">
        <v>87</v>
      </c>
      <c r="B5" s="16" t="n">
        <f aca="false">Inputs!$B$6</f>
        <v>16.52</v>
      </c>
    </row>
    <row r="6" customFormat="false" ht="15" hidden="false" customHeight="false" outlineLevel="0" collapsed="false">
      <c r="A6" s="2" t="s">
        <v>88</v>
      </c>
      <c r="B6" s="17" t="n">
        <f aca="false">Inputs!$B$8</f>
        <v>0.3</v>
      </c>
    </row>
    <row r="7" customFormat="false" ht="15" hidden="false" customHeight="false" outlineLevel="0" collapsed="false">
      <c r="A7" s="2" t="s">
        <v>89</v>
      </c>
      <c r="B7" s="18" t="n">
        <f aca="false">B5*(1+B6)</f>
        <v>21.476</v>
      </c>
    </row>
    <row r="8" customFormat="false" ht="15" hidden="false" customHeight="false" outlineLevel="0" collapsed="false">
      <c r="A8" s="2" t="s">
        <v>90</v>
      </c>
      <c r="B8" s="19" t="n">
        <f aca="false">Inputs!$B$7</f>
        <v>57.1</v>
      </c>
    </row>
    <row r="9" customFormat="false" ht="15" hidden="false" customHeight="false" outlineLevel="0" collapsed="false">
      <c r="A9" s="2" t="s">
        <v>91</v>
      </c>
      <c r="B9" s="20" t="n">
        <f aca="false">B7*B8</f>
        <v>1226.2796</v>
      </c>
    </row>
    <row r="10" customFormat="false" ht="15" hidden="false" customHeight="false" outlineLevel="0" collapsed="false">
      <c r="A10" s="2" t="s">
        <v>92</v>
      </c>
      <c r="B10" s="19" t="n">
        <f aca="false">Inputs!$B$18</f>
        <v>70</v>
      </c>
    </row>
    <row r="11" customFormat="false" ht="15" hidden="false" customHeight="false" outlineLevel="0" collapsed="false">
      <c r="A11" s="2" t="s">
        <v>93</v>
      </c>
      <c r="B11" s="19" t="n">
        <f aca="false">Inputs!$B$17</f>
        <v>128.3</v>
      </c>
    </row>
    <row r="12" customFormat="false" ht="15" hidden="false" customHeight="false" outlineLevel="0" collapsed="false">
      <c r="A12" s="3" t="s">
        <v>94</v>
      </c>
      <c r="B12" s="21" t="n">
        <f aca="false">B9+B10-B11</f>
        <v>1167.9796</v>
      </c>
    </row>
    <row r="13" customFormat="false" ht="15" hidden="false" customHeight="false" outlineLevel="0" collapsed="false">
      <c r="A13" s="2" t="s">
        <v>95</v>
      </c>
      <c r="B13" s="19" t="n">
        <f aca="false">Inputs!$B$12</f>
        <v>60.6</v>
      </c>
    </row>
    <row r="14" customFormat="false" ht="15" hidden="false" customHeight="false" outlineLevel="0" collapsed="false">
      <c r="A14" s="2" t="s">
        <v>96</v>
      </c>
      <c r="B14" s="22" t="n">
        <f aca="false">B12/B13</f>
        <v>19.2735907590759</v>
      </c>
    </row>
    <row r="15" customFormat="false" ht="15" hidden="false" customHeight="false" outlineLevel="0" collapsed="false">
      <c r="A15" s="2" t="s">
        <v>97</v>
      </c>
      <c r="B15" s="20" t="n">
        <f aca="false">Inputs!$B$12+Inputs!$B$23*Inputs!$B$14</f>
        <v>98</v>
      </c>
    </row>
    <row r="16" customFormat="false" ht="15" hidden="false" customHeight="false" outlineLevel="0" collapsed="false">
      <c r="A16" s="2" t="s">
        <v>98</v>
      </c>
      <c r="B16" s="22" t="n">
        <f aca="false">B12/B15</f>
        <v>11.9181591836735</v>
      </c>
    </row>
    <row r="17" customFormat="false" ht="15" hidden="false" customHeight="false" outlineLevel="0" collapsed="false">
      <c r="A17" s="2" t="s">
        <v>99</v>
      </c>
      <c r="B17" s="20" t="n">
        <f aca="false">B5*B8+B10-B11</f>
        <v>884.992</v>
      </c>
    </row>
    <row r="18" customFormat="false" ht="15" hidden="false" customHeight="false" outlineLevel="0" collapsed="false">
      <c r="A18" s="2" t="s">
        <v>100</v>
      </c>
      <c r="B18" s="22" t="n">
        <f aca="false">B17/B13</f>
        <v>14.6038283828383</v>
      </c>
    </row>
    <row r="20" customFormat="false" ht="15" hidden="false" customHeight="false" outlineLevel="0" collapsed="false">
      <c r="A20" s="7" t="s">
        <v>101</v>
      </c>
      <c r="B20" s="8"/>
      <c r="C20" s="8"/>
      <c r="D20" s="8"/>
      <c r="E20" s="8"/>
      <c r="F20" s="8"/>
      <c r="G20" s="8"/>
      <c r="H20" s="8"/>
    </row>
    <row r="21" customFormat="false" ht="15" hidden="false" customHeight="false" outlineLevel="0" collapsed="false">
      <c r="A21" s="23" t="s">
        <v>102</v>
      </c>
    </row>
    <row r="22" customFormat="false" ht="15" hidden="false" customHeight="false" outlineLevel="0" collapsed="false">
      <c r="A22" s="2" t="s">
        <v>103</v>
      </c>
      <c r="B22" s="20" t="n">
        <f aca="false">B9</f>
        <v>1226.2796</v>
      </c>
    </row>
    <row r="23" customFormat="false" ht="15" hidden="false" customHeight="false" outlineLevel="0" collapsed="false">
      <c r="A23" s="2" t="s">
        <v>104</v>
      </c>
      <c r="B23" s="20" t="n">
        <f aca="false">B10</f>
        <v>70</v>
      </c>
    </row>
    <row r="24" customFormat="false" ht="15" hidden="false" customHeight="false" outlineLevel="0" collapsed="false">
      <c r="A24" s="2" t="s">
        <v>48</v>
      </c>
      <c r="B24" s="20" t="n">
        <f aca="false">B9*Inputs!$B$22</f>
        <v>36.788388</v>
      </c>
    </row>
    <row r="25" customFormat="false" ht="15" hidden="false" customHeight="false" outlineLevel="0" collapsed="false">
      <c r="A25" s="3" t="s">
        <v>105</v>
      </c>
      <c r="B25" s="21" t="n">
        <f aca="false">SUM(B22:B24)</f>
        <v>1333.067988</v>
      </c>
    </row>
    <row r="26" customFormat="false" ht="15" hidden="false" customHeight="false" outlineLevel="0" collapsed="false">
      <c r="A26" s="23" t="s">
        <v>106</v>
      </c>
    </row>
    <row r="27" customFormat="false" ht="15" hidden="false" customHeight="false" outlineLevel="0" collapsed="false">
      <c r="A27" s="2" t="s">
        <v>107</v>
      </c>
      <c r="B27" s="20" t="n">
        <f aca="false">MAX(0,B11-Inputs!$B$21)</f>
        <v>98.3</v>
      </c>
    </row>
    <row r="28" customFormat="false" ht="15" hidden="false" customHeight="false" outlineLevel="0" collapsed="false">
      <c r="A28" s="2" t="s">
        <v>53</v>
      </c>
      <c r="B28" s="20" t="n">
        <f aca="false">B15*Inputs!$B$24</f>
        <v>441</v>
      </c>
    </row>
    <row r="29" customFormat="false" ht="15" hidden="false" customHeight="false" outlineLevel="0" collapsed="false">
      <c r="A29" s="3" t="s">
        <v>108</v>
      </c>
      <c r="B29" s="24" t="n">
        <f aca="false">B25-B27-B28</f>
        <v>793.767988</v>
      </c>
    </row>
    <row r="30" customFormat="false" ht="15" hidden="false" customHeight="false" outlineLevel="0" collapsed="false">
      <c r="A30" s="3" t="s">
        <v>109</v>
      </c>
      <c r="B30" s="21" t="n">
        <f aca="false">SUM(B27:B29)</f>
        <v>1333.067988</v>
      </c>
    </row>
    <row r="31" customFormat="false" ht="15" hidden="false" customHeight="false" outlineLevel="0" collapsed="false">
      <c r="A31" s="2" t="s">
        <v>110</v>
      </c>
      <c r="B31" s="20" t="n">
        <f aca="false">B30-B25</f>
        <v>0</v>
      </c>
    </row>
    <row r="32" customFormat="false" ht="15" hidden="false" customHeight="false" outlineLevel="0" collapsed="false">
      <c r="A32" s="2" t="s">
        <v>66</v>
      </c>
      <c r="B32" s="19" t="n">
        <f aca="false">Inputs!$B$29</f>
        <v>330</v>
      </c>
    </row>
    <row r="33" customFormat="false" ht="15" hidden="false" customHeight="false" outlineLevel="0" collapsed="false">
      <c r="A33" s="3" t="s">
        <v>111</v>
      </c>
      <c r="B33" s="25" t="str">
        <f aca="false">IF(B29&lt;=B32,"YES","NO")</f>
        <v>NO</v>
      </c>
    </row>
    <row r="34" customFormat="false" ht="15" hidden="false" customHeight="false" outlineLevel="0" collapsed="false">
      <c r="A34" s="2" t="s">
        <v>112</v>
      </c>
      <c r="B34" s="22" t="n">
        <f aca="false">B28/B13</f>
        <v>7.27722772277228</v>
      </c>
    </row>
    <row r="36" customFormat="false" ht="15" hidden="false" customHeight="false" outlineLevel="0" collapsed="false">
      <c r="A36" s="7" t="s">
        <v>113</v>
      </c>
      <c r="B36" s="8"/>
      <c r="C36" s="8"/>
      <c r="D36" s="8"/>
      <c r="E36" s="8"/>
      <c r="F36" s="8"/>
      <c r="G36" s="8"/>
      <c r="H36" s="8"/>
    </row>
    <row r="37" customFormat="false" ht="15" hidden="false" customHeight="false" outlineLevel="0" collapsed="false">
      <c r="A37" s="3" t="s">
        <v>114</v>
      </c>
      <c r="B37" s="26"/>
      <c r="C37" s="27" t="s">
        <v>115</v>
      </c>
      <c r="D37" s="27" t="s">
        <v>116</v>
      </c>
      <c r="E37" s="27" t="s">
        <v>117</v>
      </c>
      <c r="F37" s="27" t="s">
        <v>118</v>
      </c>
      <c r="G37" s="27" t="s">
        <v>119</v>
      </c>
      <c r="H37" s="27" t="s">
        <v>120</v>
      </c>
    </row>
    <row r="38" customFormat="false" ht="15" hidden="false" customHeight="false" outlineLevel="0" collapsed="false">
      <c r="A38" s="0" t="s">
        <v>121</v>
      </c>
      <c r="C38" s="28" t="n">
        <v>0</v>
      </c>
      <c r="D38" s="29" t="n">
        <f aca="false">C38+1</f>
        <v>1</v>
      </c>
      <c r="E38" s="29" t="n">
        <f aca="false">D38+1</f>
        <v>2</v>
      </c>
      <c r="F38" s="29" t="n">
        <f aca="false">E38+1</f>
        <v>3</v>
      </c>
      <c r="G38" s="29" t="n">
        <f aca="false">F38+1</f>
        <v>4</v>
      </c>
      <c r="H38" s="29" t="n">
        <f aca="false">G38+1</f>
        <v>5</v>
      </c>
    </row>
    <row r="39" customFormat="false" ht="15" hidden="false" customHeight="false" outlineLevel="0" collapsed="false">
      <c r="A39" s="2" t="s">
        <v>30</v>
      </c>
      <c r="C39" s="19" t="n">
        <f aca="false">Inputs!$B$11</f>
        <v>1293.7</v>
      </c>
      <c r="D39" s="20" t="n">
        <f aca="false">C39*(1+Inputs!$B$33)</f>
        <v>1397.196</v>
      </c>
      <c r="E39" s="20" t="n">
        <f aca="false">D39*(1+Inputs!$B$33)</f>
        <v>1508.97168</v>
      </c>
      <c r="F39" s="20" t="n">
        <f aca="false">E39*(1+Inputs!$B$33)</f>
        <v>1629.6894144</v>
      </c>
      <c r="G39" s="20" t="n">
        <f aca="false">F39*(1+Inputs!$B$33)</f>
        <v>1760.064567552</v>
      </c>
      <c r="H39" s="20" t="n">
        <f aca="false">G39*(1+Inputs!$B$33)</f>
        <v>1900.86973295616</v>
      </c>
    </row>
    <row r="40" customFormat="false" ht="15" hidden="false" customHeight="false" outlineLevel="0" collapsed="false">
      <c r="A40" s="2" t="s">
        <v>122</v>
      </c>
      <c r="D40" s="15" t="n">
        <f aca="false">D39/C39-1</f>
        <v>0.0800000000000001</v>
      </c>
      <c r="E40" s="15" t="n">
        <f aca="false">E39/D39-1</f>
        <v>0.0800000000000001</v>
      </c>
      <c r="F40" s="15" t="n">
        <f aca="false">F39/E39-1</f>
        <v>0.0800000000000001</v>
      </c>
      <c r="G40" s="15" t="n">
        <f aca="false">G39/F39-1</f>
        <v>0.0800000000000001</v>
      </c>
      <c r="H40" s="15" t="n">
        <f aca="false">H39/G39-1</f>
        <v>0.0800000000000001</v>
      </c>
    </row>
    <row r="41" customFormat="false" ht="15" hidden="false" customHeight="false" outlineLevel="0" collapsed="false">
      <c r="A41" s="2" t="s">
        <v>123</v>
      </c>
      <c r="C41" s="15" t="n">
        <f aca="false">C42/C39</f>
        <v>0.0468423900440597</v>
      </c>
      <c r="D41" s="15" t="n">
        <f aca="false">$C$41+(Inputs!$B$34-$C$41)*D38/$H$38</f>
        <v>0.0494739120352477</v>
      </c>
      <c r="E41" s="15" t="n">
        <f aca="false">$C$41+(Inputs!$B$34-$C$41)*E38/$H$38</f>
        <v>0.0521054340264358</v>
      </c>
      <c r="F41" s="15" t="n">
        <f aca="false">$C$41+(Inputs!$B$34-$C$41)*F38/$H$38</f>
        <v>0.0547369560176239</v>
      </c>
      <c r="G41" s="15" t="n">
        <f aca="false">$C$41+(Inputs!$B$34-$C$41)*G38/$H$38</f>
        <v>0.0573684780088119</v>
      </c>
      <c r="H41" s="15" t="n">
        <f aca="false">$C$41+(Inputs!$B$34-$C$41)*H38/$H$38</f>
        <v>0.06</v>
      </c>
    </row>
    <row r="42" customFormat="false" ht="15" hidden="false" customHeight="false" outlineLevel="0" collapsed="false">
      <c r="A42" s="3" t="s">
        <v>124</v>
      </c>
      <c r="C42" s="30" t="n">
        <f aca="false">Inputs!$B$12</f>
        <v>60.6</v>
      </c>
      <c r="D42" s="21" t="n">
        <f aca="false">D39*D41</f>
        <v>69.124752</v>
      </c>
      <c r="E42" s="21" t="n">
        <f aca="false">E39*E41</f>
        <v>78.62562432</v>
      </c>
      <c r="F42" s="21" t="n">
        <f aca="false">F39*F41</f>
        <v>89.2042377984</v>
      </c>
      <c r="G42" s="21" t="n">
        <f aca="false">G39*G41</f>
        <v>100.972225437696</v>
      </c>
      <c r="H42" s="21" t="n">
        <f aca="false">H39*H41</f>
        <v>114.05218397737</v>
      </c>
    </row>
    <row r="43" customFormat="false" ht="15" hidden="false" customHeight="false" outlineLevel="0" collapsed="false">
      <c r="A43" s="2" t="s">
        <v>35</v>
      </c>
      <c r="C43" s="19" t="n">
        <f aca="false">Inputs!$B$13</f>
        <v>25.2</v>
      </c>
      <c r="D43" s="20" t="n">
        <f aca="false">D39*Inputs!$B$35</f>
        <v>27.216</v>
      </c>
      <c r="E43" s="20" t="n">
        <f aca="false">E39*Inputs!$B$35</f>
        <v>29.39328</v>
      </c>
      <c r="F43" s="20" t="n">
        <f aca="false">F39*Inputs!$B$35</f>
        <v>31.7447424</v>
      </c>
      <c r="G43" s="20" t="n">
        <f aca="false">G39*Inputs!$B$35</f>
        <v>34.284321792</v>
      </c>
      <c r="H43" s="20" t="n">
        <f aca="false">H39*Inputs!$B$35</f>
        <v>37.02706753536</v>
      </c>
    </row>
    <row r="44" customFormat="false" ht="15" hidden="false" customHeight="false" outlineLevel="0" collapsed="false">
      <c r="A44" s="2" t="s">
        <v>125</v>
      </c>
      <c r="C44" s="20" t="n">
        <f aca="false">C42-C43</f>
        <v>35.4</v>
      </c>
      <c r="D44" s="20" t="n">
        <f aca="false">D42-D43</f>
        <v>41.908752</v>
      </c>
      <c r="E44" s="20" t="n">
        <f aca="false">E42-E43</f>
        <v>49.23234432</v>
      </c>
      <c r="F44" s="20" t="n">
        <f aca="false">F42-F43</f>
        <v>57.4594953984</v>
      </c>
      <c r="G44" s="20" t="n">
        <f aca="false">G42-G43</f>
        <v>66.687903645696</v>
      </c>
      <c r="H44" s="20" t="n">
        <f aca="false">H42-H43</f>
        <v>77.0251164420096</v>
      </c>
    </row>
    <row r="45" customFormat="false" ht="15" hidden="false" customHeight="false" outlineLevel="0" collapsed="false">
      <c r="A45" s="2" t="s">
        <v>126</v>
      </c>
      <c r="D45" s="20" t="n">
        <f aca="false">D53*Inputs!$B$25</f>
        <v>37.485</v>
      </c>
      <c r="E45" s="20" t="n">
        <f aca="false">E53*Inputs!$B$25</f>
        <v>36.64222381</v>
      </c>
      <c r="F45" s="20" t="n">
        <f aca="false">F53*Inputs!$B$25</f>
        <v>35.2339806674875</v>
      </c>
      <c r="G45" s="20" t="n">
        <f aca="false">G53*Inputs!$B$25</f>
        <v>33.1630313065918</v>
      </c>
      <c r="H45" s="20" t="n">
        <f aca="false">H53*Inputs!$B$25</f>
        <v>30.3194220744299</v>
      </c>
    </row>
    <row r="46" customFormat="false" ht="15" hidden="false" customHeight="false" outlineLevel="0" collapsed="false">
      <c r="A46" s="2" t="s">
        <v>127</v>
      </c>
      <c r="D46" s="20" t="n">
        <f aca="false">D44-D45</f>
        <v>4.42375199999999</v>
      </c>
      <c r="E46" s="20" t="n">
        <f aca="false">E44-E45</f>
        <v>12.59012051</v>
      </c>
      <c r="F46" s="20" t="n">
        <f aca="false">F44-F45</f>
        <v>22.2255147309125</v>
      </c>
      <c r="G46" s="20" t="n">
        <f aca="false">G44-G45</f>
        <v>33.5248723391042</v>
      </c>
      <c r="H46" s="20" t="n">
        <f aca="false">H44-H45</f>
        <v>46.7056943675797</v>
      </c>
    </row>
    <row r="47" customFormat="false" ht="15" hidden="false" customHeight="false" outlineLevel="0" collapsed="false">
      <c r="A47" s="2" t="s">
        <v>128</v>
      </c>
      <c r="D47" s="20" t="n">
        <f aca="false">MAX(0,D46)*Inputs!$B$28</f>
        <v>1.105938</v>
      </c>
      <c r="E47" s="20" t="n">
        <f aca="false">MAX(0,E46)*Inputs!$B$28</f>
        <v>3.1475301275</v>
      </c>
      <c r="F47" s="20" t="n">
        <f aca="false">MAX(0,F46)*Inputs!$B$28</f>
        <v>5.55637868272813</v>
      </c>
      <c r="G47" s="20" t="n">
        <f aca="false">MAX(0,G46)*Inputs!$B$28</f>
        <v>8.38121808477605</v>
      </c>
      <c r="H47" s="20" t="n">
        <f aca="false">MAX(0,H46)*Inputs!$B$28</f>
        <v>11.6764235918949</v>
      </c>
    </row>
    <row r="48" customFormat="false" ht="15" hidden="false" customHeight="false" outlineLevel="0" collapsed="false">
      <c r="A48" s="2" t="s">
        <v>78</v>
      </c>
      <c r="C48" s="19" t="n">
        <f aca="false">Inputs!$B$15+Inputs!$B$16</f>
        <v>14.3</v>
      </c>
      <c r="D48" s="20" t="n">
        <f aca="false">D39*Inputs!$B$36</f>
        <v>15.444</v>
      </c>
      <c r="E48" s="20" t="n">
        <f aca="false">E39*Inputs!$B$36</f>
        <v>16.67952</v>
      </c>
      <c r="F48" s="20" t="n">
        <f aca="false">F39*Inputs!$B$36</f>
        <v>18.0138816</v>
      </c>
      <c r="G48" s="20" t="n">
        <f aca="false">G39*Inputs!$B$36</f>
        <v>19.454992128</v>
      </c>
      <c r="H48" s="20" t="n">
        <f aca="false">H39*Inputs!$B$36</f>
        <v>21.01139149824</v>
      </c>
    </row>
    <row r="49" customFormat="false" ht="15" hidden="false" customHeight="false" outlineLevel="0" collapsed="false">
      <c r="A49" s="2" t="s">
        <v>129</v>
      </c>
      <c r="D49" s="20" t="n">
        <f aca="false">(D39-C39)*Inputs!$B$37</f>
        <v>5.17480000000001</v>
      </c>
      <c r="E49" s="20" t="n">
        <f aca="false">(E39-D39)*Inputs!$B$37</f>
        <v>5.58878400000001</v>
      </c>
      <c r="F49" s="20" t="n">
        <f aca="false">(F39-E39)*Inputs!$B$37</f>
        <v>6.03588672000001</v>
      </c>
      <c r="G49" s="20" t="n">
        <f aca="false">(G39-F39)*Inputs!$B$37</f>
        <v>6.51875765760001</v>
      </c>
      <c r="H49" s="20" t="n">
        <f aca="false">(H39-G39)*Inputs!$B$37</f>
        <v>7.04025827020801</v>
      </c>
    </row>
    <row r="50" customFormat="false" ht="15" hidden="false" customHeight="false" outlineLevel="0" collapsed="false">
      <c r="A50" s="3" t="s">
        <v>130</v>
      </c>
      <c r="C50" s="31"/>
      <c r="D50" s="21" t="n">
        <f aca="false">D42-D47-D48-D49-D45</f>
        <v>9.915014</v>
      </c>
      <c r="E50" s="21" t="n">
        <f aca="false">E42-E47-E48-E49-E45</f>
        <v>16.5675663825</v>
      </c>
      <c r="F50" s="21" t="n">
        <f aca="false">F42-F47-F48-F49-F45</f>
        <v>24.3641101281844</v>
      </c>
      <c r="G50" s="21" t="n">
        <f aca="false">G42-G47-G48-G49-G45</f>
        <v>33.4542262607281</v>
      </c>
      <c r="H50" s="21" t="n">
        <f aca="false">H42-H47-H48-H49-H45</f>
        <v>44.0046885425968</v>
      </c>
    </row>
    <row r="52" customFormat="false" ht="15" hidden="false" customHeight="false" outlineLevel="0" collapsed="false">
      <c r="A52" s="7" t="s">
        <v>131</v>
      </c>
      <c r="B52" s="8"/>
      <c r="C52" s="8"/>
      <c r="D52" s="8"/>
      <c r="E52" s="8"/>
      <c r="F52" s="8"/>
      <c r="G52" s="8"/>
      <c r="H52" s="8"/>
    </row>
    <row r="53" customFormat="false" ht="15" hidden="false" customHeight="false" outlineLevel="0" collapsed="false">
      <c r="A53" s="2" t="s">
        <v>132</v>
      </c>
      <c r="D53" s="20" t="n">
        <f aca="false">C56</f>
        <v>441</v>
      </c>
      <c r="E53" s="20" t="n">
        <f aca="false">D56</f>
        <v>431.084986</v>
      </c>
      <c r="F53" s="20" t="n">
        <f aca="false">E56</f>
        <v>414.5174196175</v>
      </c>
      <c r="G53" s="20" t="n">
        <f aca="false">F56</f>
        <v>390.153309489316</v>
      </c>
      <c r="H53" s="20" t="n">
        <f aca="false">G56</f>
        <v>356.699083228587</v>
      </c>
    </row>
    <row r="54" customFormat="false" ht="15" hidden="false" customHeight="false" outlineLevel="0" collapsed="false">
      <c r="A54" s="2" t="s">
        <v>59</v>
      </c>
      <c r="D54" s="20" t="n">
        <f aca="false">MIN(D53,$B$28*Inputs!$B$26)</f>
        <v>4.41</v>
      </c>
      <c r="E54" s="20" t="n">
        <f aca="false">MIN(E53,$B$28*Inputs!$B$26)</f>
        <v>4.41</v>
      </c>
      <c r="F54" s="20" t="n">
        <f aca="false">MIN(F53,$B$28*Inputs!$B$26)</f>
        <v>4.41</v>
      </c>
      <c r="G54" s="20" t="n">
        <f aca="false">MIN(G53,$B$28*Inputs!$B$26)</f>
        <v>4.41</v>
      </c>
      <c r="H54" s="20" t="n">
        <f aca="false">MIN(H53,$B$28*Inputs!$B$26)</f>
        <v>4.41</v>
      </c>
    </row>
    <row r="55" customFormat="false" ht="15" hidden="false" customHeight="false" outlineLevel="0" collapsed="false">
      <c r="A55" s="2" t="s">
        <v>133</v>
      </c>
      <c r="D55" s="20" t="n">
        <f aca="false">MIN(D53-D54,MAX(0,D50-D54)*Inputs!$B$27)</f>
        <v>5.505014</v>
      </c>
      <c r="E55" s="20" t="n">
        <f aca="false">MIN(E53-E54,MAX(0,E50-E54)*Inputs!$B$27)</f>
        <v>12.1575663825</v>
      </c>
      <c r="F55" s="20" t="n">
        <f aca="false">MIN(F53-F54,MAX(0,F50-F54)*Inputs!$B$27)</f>
        <v>19.9541101281844</v>
      </c>
      <c r="G55" s="20" t="n">
        <f aca="false">MIN(G53-G54,MAX(0,G50-G54)*Inputs!$B$27)</f>
        <v>29.0442262607281</v>
      </c>
      <c r="H55" s="20" t="n">
        <f aca="false">MIN(H53-H54,MAX(0,H50-H54)*Inputs!$B$27)</f>
        <v>39.5946885425968</v>
      </c>
    </row>
    <row r="56" customFormat="false" ht="15" hidden="false" customHeight="false" outlineLevel="0" collapsed="false">
      <c r="A56" s="3" t="s">
        <v>134</v>
      </c>
      <c r="C56" s="21" t="n">
        <f aca="false">B28</f>
        <v>441</v>
      </c>
      <c r="D56" s="21" t="n">
        <f aca="false">D53-D54-D55</f>
        <v>431.084986</v>
      </c>
      <c r="E56" s="21" t="n">
        <f aca="false">E53-E54-E55</f>
        <v>414.5174196175</v>
      </c>
      <c r="F56" s="21" t="n">
        <f aca="false">F53-F54-F55</f>
        <v>390.153309489316</v>
      </c>
      <c r="G56" s="21" t="n">
        <f aca="false">G53-G54-G55</f>
        <v>356.699083228587</v>
      </c>
      <c r="H56" s="21" t="n">
        <f aca="false">H53-H54-H55</f>
        <v>312.694394685991</v>
      </c>
    </row>
    <row r="57" customFormat="false" ht="15" hidden="false" customHeight="false" outlineLevel="0" collapsed="false">
      <c r="A57" s="2" t="s">
        <v>135</v>
      </c>
      <c r="D57" s="20" t="n">
        <f aca="false">C58</f>
        <v>30</v>
      </c>
      <c r="E57" s="20" t="n">
        <f aca="false">D58</f>
        <v>30</v>
      </c>
      <c r="F57" s="20" t="n">
        <f aca="false">E58</f>
        <v>30</v>
      </c>
      <c r="G57" s="20" t="n">
        <f aca="false">F58</f>
        <v>30</v>
      </c>
      <c r="H57" s="20" t="n">
        <f aca="false">G58</f>
        <v>30</v>
      </c>
    </row>
    <row r="58" customFormat="false" ht="15" hidden="false" customHeight="false" outlineLevel="0" collapsed="false">
      <c r="A58" s="2" t="s">
        <v>136</v>
      </c>
      <c r="C58" s="19" t="n">
        <f aca="false">Inputs!$B$21</f>
        <v>30</v>
      </c>
      <c r="D58" s="20" t="n">
        <f aca="false">D57+D50-D54-D55</f>
        <v>30</v>
      </c>
      <c r="E58" s="20" t="n">
        <f aca="false">E57+E50-E54-E55</f>
        <v>30</v>
      </c>
      <c r="F58" s="20" t="n">
        <f aca="false">F57+F50-F54-F55</f>
        <v>30</v>
      </c>
      <c r="G58" s="20" t="n">
        <f aca="false">G57+G50-G54-G55</f>
        <v>30</v>
      </c>
      <c r="H58" s="20" t="n">
        <f aca="false">H57+H50-H54-H55</f>
        <v>30</v>
      </c>
    </row>
    <row r="59" customFormat="false" ht="15" hidden="false" customHeight="false" outlineLevel="0" collapsed="false">
      <c r="A59" s="3" t="s">
        <v>137</v>
      </c>
      <c r="C59" s="24" t="n">
        <f aca="false">C56-C58</f>
        <v>411</v>
      </c>
      <c r="D59" s="24" t="n">
        <f aca="false">D56-D58</f>
        <v>401.084986</v>
      </c>
      <c r="E59" s="24" t="n">
        <f aca="false">E56-E58</f>
        <v>384.5174196175</v>
      </c>
      <c r="F59" s="24" t="n">
        <f aca="false">F56-F58</f>
        <v>360.153309489316</v>
      </c>
      <c r="G59" s="24" t="n">
        <f aca="false">G56-G58</f>
        <v>326.699083228587</v>
      </c>
      <c r="H59" s="24" t="n">
        <f aca="false">H56-H58</f>
        <v>282.694394685991</v>
      </c>
    </row>
    <row r="60" customFormat="false" ht="15" hidden="false" customHeight="false" outlineLevel="0" collapsed="false">
      <c r="A60" s="2" t="s">
        <v>138</v>
      </c>
      <c r="C60" s="22" t="n">
        <f aca="false">C59/C42</f>
        <v>6.78217821782178</v>
      </c>
      <c r="D60" s="22" t="n">
        <f aca="false">D59/D42</f>
        <v>5.80233526190445</v>
      </c>
      <c r="E60" s="22" t="n">
        <f aca="false">E59/E42</f>
        <v>4.89048478715469</v>
      </c>
      <c r="F60" s="22" t="n">
        <f aca="false">F59/F42</f>
        <v>4.03740134300856</v>
      </c>
      <c r="G60" s="22" t="n">
        <f aca="false">G59/G42</f>
        <v>3.23553414627049</v>
      </c>
      <c r="H60" s="22" t="n">
        <f aca="false">H59/H42</f>
        <v>2.4786407837844</v>
      </c>
    </row>
    <row r="62" customFormat="false" ht="15" hidden="false" customHeight="false" outlineLevel="0" collapsed="false">
      <c r="A62" s="7" t="s">
        <v>139</v>
      </c>
      <c r="B62" s="8"/>
      <c r="C62" s="8"/>
      <c r="D62" s="8"/>
      <c r="E62" s="8"/>
      <c r="F62" s="8"/>
      <c r="G62" s="8"/>
      <c r="H62" s="8"/>
    </row>
    <row r="63" customFormat="false" ht="15" hidden="false" customHeight="false" outlineLevel="0" collapsed="false">
      <c r="A63" s="2" t="s">
        <v>140</v>
      </c>
      <c r="B63" s="20" t="n">
        <f aca="false">H42</f>
        <v>114.05218397737</v>
      </c>
    </row>
    <row r="64" customFormat="false" ht="15" hidden="false" customHeight="false" outlineLevel="0" collapsed="false">
      <c r="A64" s="2" t="s">
        <v>141</v>
      </c>
      <c r="B64" s="32" t="n">
        <f aca="false">Inputs!$B$38</f>
        <v>14.6</v>
      </c>
    </row>
    <row r="65" customFormat="false" ht="15" hidden="false" customHeight="false" outlineLevel="0" collapsed="false">
      <c r="A65" s="2" t="s">
        <v>142</v>
      </c>
      <c r="B65" s="20" t="n">
        <f aca="false">B63*B64</f>
        <v>1665.1618860696</v>
      </c>
    </row>
    <row r="66" customFormat="false" ht="15" hidden="false" customHeight="false" outlineLevel="0" collapsed="false">
      <c r="A66" s="2" t="s">
        <v>143</v>
      </c>
      <c r="B66" s="20" t="n">
        <f aca="false">H56</f>
        <v>312.694394685991</v>
      </c>
    </row>
    <row r="67" customFormat="false" ht="15" hidden="false" customHeight="false" outlineLevel="0" collapsed="false">
      <c r="A67" s="2" t="s">
        <v>144</v>
      </c>
      <c r="B67" s="20" t="n">
        <f aca="false">H58</f>
        <v>30</v>
      </c>
    </row>
    <row r="68" customFormat="false" ht="15" hidden="false" customHeight="false" outlineLevel="0" collapsed="false">
      <c r="A68" s="3" t="s">
        <v>145</v>
      </c>
      <c r="B68" s="21" t="n">
        <f aca="false">B65-B66+B67</f>
        <v>1382.46749138361</v>
      </c>
    </row>
    <row r="69" customFormat="false" ht="15" hidden="false" customHeight="false" outlineLevel="0" collapsed="false">
      <c r="A69" s="2" t="s">
        <v>146</v>
      </c>
      <c r="B69" s="20" t="n">
        <f aca="false">B29</f>
        <v>793.767988</v>
      </c>
    </row>
    <row r="70" customFormat="false" ht="15" hidden="false" customHeight="false" outlineLevel="0" collapsed="false">
      <c r="A70" s="3" t="s">
        <v>147</v>
      </c>
      <c r="B70" s="33" t="n">
        <f aca="false">B68/B69</f>
        <v>1.74165185833068</v>
      </c>
    </row>
    <row r="71" customFormat="false" ht="15" hidden="false" customHeight="false" outlineLevel="0" collapsed="false">
      <c r="A71" s="3" t="s">
        <v>148</v>
      </c>
      <c r="B71" s="34" t="n">
        <f aca="false">B70^(1/H38)-1</f>
        <v>0.117357811468411</v>
      </c>
    </row>
    <row r="72" customFormat="false" ht="15" hidden="false" customHeight="false" outlineLevel="0" collapsed="false">
      <c r="A72" s="2" t="s">
        <v>68</v>
      </c>
      <c r="B72" s="17" t="n">
        <f aca="false">Inputs!$B$30</f>
        <v>0.2</v>
      </c>
    </row>
    <row r="73" customFormat="false" ht="15" hidden="false" customHeight="false" outlineLevel="0" collapsed="false">
      <c r="A73" s="3" t="s">
        <v>149</v>
      </c>
      <c r="B73" s="25" t="str">
        <f aca="false">IF(B71&gt;=B72,"YES","NO")</f>
        <v>NO</v>
      </c>
    </row>
    <row r="75" customFormat="false" ht="15" hidden="false" customHeight="false" outlineLevel="0" collapsed="false">
      <c r="A75" s="7" t="s">
        <v>150</v>
      </c>
      <c r="B75" s="8"/>
      <c r="C75" s="8"/>
      <c r="D75" s="8"/>
      <c r="E75" s="8"/>
      <c r="F75" s="8"/>
      <c r="G75" s="8"/>
      <c r="H75" s="8"/>
    </row>
    <row r="76" customFormat="false" ht="15" hidden="false" customHeight="false" outlineLevel="0" collapsed="false">
      <c r="A76" s="2" t="s">
        <v>96</v>
      </c>
      <c r="B76" s="22" t="n">
        <f aca="false">B14</f>
        <v>19.2735907590759</v>
      </c>
    </row>
    <row r="77" customFormat="false" ht="15" hidden="false" customHeight="false" outlineLevel="0" collapsed="false">
      <c r="A77" s="2" t="s">
        <v>151</v>
      </c>
      <c r="B77" s="20" t="n">
        <f aca="false">(B63-B13)*B76</f>
        <v>1030.21551915866</v>
      </c>
    </row>
    <row r="78" customFormat="false" ht="15" hidden="false" customHeight="false" outlineLevel="0" collapsed="false">
      <c r="A78" s="2" t="s">
        <v>152</v>
      </c>
      <c r="B78" s="20" t="n">
        <f aca="false">(B64-B76)*B63</f>
        <v>-533.03323308906</v>
      </c>
    </row>
    <row r="79" customFormat="false" ht="15" hidden="false" customHeight="false" outlineLevel="0" collapsed="false">
      <c r="A79" s="2" t="s">
        <v>153</v>
      </c>
      <c r="B79" s="20" t="n">
        <f aca="false">C59-H59</f>
        <v>128.305605314009</v>
      </c>
    </row>
    <row r="80" customFormat="false" ht="15" hidden="false" customHeight="false" outlineLevel="0" collapsed="false">
      <c r="A80" s="2" t="s">
        <v>154</v>
      </c>
      <c r="B80" s="20" t="n">
        <f aca="false">-B24</f>
        <v>-36.788388</v>
      </c>
    </row>
    <row r="81" customFormat="false" ht="15" hidden="false" customHeight="false" outlineLevel="0" collapsed="false">
      <c r="A81" s="3" t="s">
        <v>155</v>
      </c>
      <c r="B81" s="21" t="n">
        <f aca="false">SUM(B77:B80)</f>
        <v>588.699503383606</v>
      </c>
    </row>
    <row r="82" customFormat="false" ht="15" hidden="false" customHeight="false" outlineLevel="0" collapsed="false">
      <c r="A82" s="2" t="s">
        <v>156</v>
      </c>
      <c r="B82" s="20" t="n">
        <f aca="false">B81-(B68-B69)</f>
        <v>0</v>
      </c>
    </row>
    <row r="84" customFormat="false" ht="15" hidden="false" customHeight="false" outlineLevel="0" collapsed="false">
      <c r="A84" s="7" t="s">
        <v>157</v>
      </c>
      <c r="B84" s="8"/>
      <c r="C84" s="8"/>
      <c r="D84" s="8"/>
      <c r="E84" s="8"/>
      <c r="F84" s="8"/>
      <c r="G84" s="8"/>
      <c r="H84" s="8"/>
    </row>
    <row r="85" customFormat="false" ht="15" hidden="false" customHeight="false" outlineLevel="0" collapsed="false">
      <c r="A85" s="2" t="s">
        <v>158</v>
      </c>
      <c r="B85" s="20" t="n">
        <f aca="false">B68/(1+B72)^H38</f>
        <v>555.582678828931</v>
      </c>
    </row>
    <row r="86" customFormat="false" ht="15" hidden="false" customHeight="false" outlineLevel="0" collapsed="false">
      <c r="A86" s="2" t="s">
        <v>159</v>
      </c>
      <c r="B86" s="18" t="n">
        <f aca="false">(B85+B27+B28-B23)/(1+Inputs!$B$22)/B8</f>
        <v>17.426124816434</v>
      </c>
    </row>
    <row r="87" customFormat="false" ht="15" hidden="false" customHeight="false" outlineLevel="0" collapsed="false">
      <c r="A87" s="2" t="s">
        <v>160</v>
      </c>
      <c r="B87" s="18" t="n">
        <f aca="false">(B32+B27+B28-B23)/(1+Inputs!$B$22)/B8</f>
        <v>13.5905327053543</v>
      </c>
    </row>
    <row r="88" customFormat="false" ht="15" hidden="false" customHeight="false" outlineLevel="0" collapsed="false">
      <c r="A88" s="3" t="s">
        <v>161</v>
      </c>
      <c r="B88" s="35" t="n">
        <f aca="false">MIN(B86,B87)</f>
        <v>13.5905327053543</v>
      </c>
    </row>
    <row r="89" customFormat="false" ht="15" hidden="false" customHeight="false" outlineLevel="0" collapsed="false">
      <c r="A89" s="2" t="s">
        <v>162</v>
      </c>
      <c r="B89" s="36" t="str">
        <f aca="false">IF(B86&lt;B87,"Target IRR","Equity limit")</f>
        <v>Equity limit</v>
      </c>
    </row>
    <row r="90" customFormat="false" ht="15" hidden="false" customHeight="false" outlineLevel="0" collapsed="false">
      <c r="A90" s="3" t="s">
        <v>163</v>
      </c>
      <c r="B90" s="34" t="n">
        <f aca="false">B88/B5-1</f>
        <v>-0.177328528731582</v>
      </c>
    </row>
    <row r="91" customFormat="false" ht="15" hidden="false" customHeight="false" outlineLevel="0" collapsed="false">
      <c r="A91" s="3" t="s">
        <v>164</v>
      </c>
      <c r="B91" s="25" t="str">
        <f aca="false">IF(B88&lt;B5,"PASS: cannot pay even the current market price",IF(B88&lt;B5*1.2,"MARGINAL: below a typical 20%+ takeover premium","ACTIONABLE: can pay a competitive premium"))</f>
        <v>PASS: cannot pay even the current market price</v>
      </c>
    </row>
    <row r="93" customFormat="false" ht="15" hidden="false" customHeight="false" outlineLevel="0" collapsed="false">
      <c r="A93" s="5"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2026-10-25T18:33:37Z</dcterms:created>
  <dc:creator>openpyxl</dc:creator>
  <dc:description/>
  <dc:language>en-US</dc:language>
  <cp:lastModifiedBy/>
  <dcterms:modified xsi:type="dcterms:W3CDTF">2026-10-25T18:33:37Z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