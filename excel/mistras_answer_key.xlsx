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70B9F170-789D-4B60-8987-64B3F0628476}" xr6:coauthVersionLast="47" xr6:coauthVersionMax="47" xr10:uidLastSave="{00000000-0000-0000-0000-000000000000}"/>
  <bookViews>
    <workbookView xWindow="-108" yWindow="-108" windowWidth="23256" windowHeight="12456" activeTab="2" xr2:uid="{86B3820A-0EC3-49A7-AC89-EEF969BD1741}"/>
  </bookViews>
  <sheets>
    <sheet name="Source" sheetId="1" r:id="rId1"/>
    <sheet name="Raw_Data" sheetId="2" r:id="rId2"/>
    <sheet name="Calculat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7" i="3" l="1"/>
  <c r="D25" i="3"/>
  <c r="D24" i="3"/>
  <c r="D23" i="3"/>
  <c r="D19" i="3"/>
  <c r="D18" i="3"/>
  <c r="E17" i="3"/>
  <c r="D17" i="3"/>
  <c r="E16" i="3"/>
  <c r="F16" i="3"/>
  <c r="D16" i="3"/>
  <c r="E15" i="3"/>
  <c r="D15" i="3"/>
  <c r="E12" i="3"/>
  <c r="E13" i="3" s="1"/>
  <c r="E14" i="3" s="1"/>
  <c r="D12" i="3"/>
  <c r="D13" i="3" s="1"/>
  <c r="D14" i="3" s="1"/>
  <c r="E11" i="3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<sst xmlns="http://schemas.openxmlformats.org/spreadsheetml/2006/main" count="183" uniqueCount="131">
  <si>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</si>
  <si>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</si>
  <si>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</si>
  <si>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</si>
  <si>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</si>
  <si>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</si>
  <si>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</si>
  <si>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</si>
  <si>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</si>
  <si>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</si>
  <si>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</si>
  <si>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</si>
  <si>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</si>
  <si>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</si>
  <si>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</si>
  <si>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</si>
  <si>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</si>
  <si>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</si>
  <si>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</si>
  <si>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</si>
  <si>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</si>
  <si>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</si>
  <si>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</si>
  <si>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</si>
  <si>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</si>
  <si>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</si>
  <si>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</si>
  <si>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</si>
  <si>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</si>
  <si>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</si>
  <si>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</si>
  <si>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</si>
  <si>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</si>
  <si>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</si>
  <si>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</si>
  <si>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</si>
  <si>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</si>
  <si>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</si>
  <si>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</si>
  <si>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</si>
  <si>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</si>
  <si>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</si>
  <si>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</si>
  <si>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</si>
  <si>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</si>
  <si>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</si>
  <si>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</si>
  <si>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</si>
  <si>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</si>
  <si>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</si>
  <si>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</si>
  <si>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</si>
  <si>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</si>
  <si>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</si>
  <si>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</si>
  <si>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</si>
  <si>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</si>
  <si>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</si>
  <si>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</si>
  <si>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</si>
  <si>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</si>
  <si>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</si>
  <si>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</si>
  <si>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</si>
  <si>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</si>
  <si>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</si>
  <si>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</si>
  <si>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</si>
  <si>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</si>
  <si>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</si>
  <si>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</si>
  <si>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</si>
  <si>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</si>
  <si>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</si>
  <si>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</si>
  <si>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</si>
  <si>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</si>
  <si>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</si>
  <si>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</si>
  <si>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</si>
  <si>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</si>
  <si>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</si>
  <si>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</si>
  <si>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</si>
  <si>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</si>
  <si>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</si>
  <si>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</si>
  <si>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</si>
  <si>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</si>
  <si>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</si>
  <si>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</si>
  <si>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</si>
  <si>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</si>
  <si>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</si>
  <si>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</si>
  <si>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</si>
  <si>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</si>
  <si>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</si>
  <si>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</si>
  <si>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</si>
  <si>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</si>
  <si>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</si>
  <si>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</si>
  <si>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</si>
  <si>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</si>
  <si>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</si>
  <si>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</si>
  <si>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</si>
  <si>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</si>
  <si>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</si>
  <si>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</si>
  <si>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</si>
  <si>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</si>
  <si>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</si>
  <si>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</si>
  <si>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</si>
  <si>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</si>
  <si>
    <t>Valuation at deal price</t>
  </si>
  <si>
    <t>Offer price per share</t>
  </si>
  <si>
    <t>Equity value</t>
  </si>
  <si>
    <t>Enterprise value</t>
  </si>
  <si>
    <t>EV / EBITDA</t>
  </si>
  <si>
    <t>Source: 8-K, Ex. 99.1</t>
  </si>
  <si>
    <t>Price x diluted shares</t>
  </si>
  <si>
    <t>Equity value + Net debt</t>
  </si>
  <si>
    <t>EV / FY2025 EBITDA</t>
  </si>
  <si>
    <t>$</t>
  </si>
  <si>
    <t>Enterprise value (announced)</t>
  </si>
  <si>
    <t>EV / EBITDA (announced)</t>
  </si>
  <si>
    <t>Source: 8-K Ex. 99.1, "approximately $866 million"</t>
  </si>
  <si>
    <t>Announced EV / FY2025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</si>
</sst>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  <numFmt numFmtId="172" formatCode="0.00\ &quot;x&quot;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7" fillId="0" borderId="0" xfId="0" applyFont="1"/>
    <xf numFmtId="172" fontId="0" fillId="0" borderId="0" xfId="0" applyNumberFormat="1"/>
    <xf numFmtId="1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27"/>
  <sheetViews>
    <sheetView tabSelected="1" topLeftCell="A16" workbookViewId="0">
      <selection activeCell="D27" sqref="D27"/>
    </sheetView>
  </sheetViews>
  <sheetFormatPr defaultRowHeight="14.4"/>
  <cols>
    <col min="1" max="1" width="30" customWidth="1"/>
    <col min="2" max="2" width="19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43.2">
      <c r="A12" t="s">
        <v>99</v>
      </c>
      <c r="B12" s="12" t="s">
        <v>100</v>
      </c>
      <c r="C12" t="s">
        <v>87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101</v>
      </c>
      <c r="B13" t="s">
        <v>102</v>
      </c>
      <c r="C13" t="s">
        <v>87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103</v>
      </c>
      <c r="B14" t="s">
        <v>104</v>
      </c>
      <c r="C14" t="s">
        <v>105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106</v>
      </c>
      <c r="B15" s="12" t="s">
        <v>107</v>
      </c>
      <c r="C15" t="s">
        <v>108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109</v>
      </c>
      <c r="B16" s="12" t="s">
        <v>110</v>
      </c>
      <c r="C16" t="s">
        <v>87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111</v>
      </c>
      <c r="B17" s="12" t="s">
        <v>112</v>
      </c>
      <c r="C17" t="s">
        <v>87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113</v>
      </c>
      <c r="B18" s="12" t="s">
        <v>114</v>
      </c>
      <c r="C18" t="s">
        <v>90</v>
      </c>
      <c r="D18" s="15">
        <f>D16/AVERAGE(D17:E17)</f>
        <v>7.8040085659695058E-2</v>
      </c>
      <c r="E18" t="s">
        <v>62</v>
      </c>
      <c r="F18" t="s">
        <v>62</v>
      </c>
    </row>
    <row r="19" spans="1:6" ht="43.2">
      <c r="A19" t="s">
        <v>115</v>
      </c>
      <c r="B19" s="12" t="s">
        <v>116</v>
      </c>
      <c r="C19" s="19" t="s">
        <v>90</v>
      </c>
      <c r="D19" s="15">
        <f>D16/AVERAGE(D17-Raw_Data!D15,E17-Raw_Data!E15)</f>
        <v>0.14715675393353789</v>
      </c>
      <c r="E19" t="s">
        <v>62</v>
      </c>
      <c r="F19" t="s">
        <v>62</v>
      </c>
    </row>
    <row r="21" spans="1:6">
      <c r="A21" s="1" t="s">
        <v>117</v>
      </c>
    </row>
    <row r="22" spans="1:6">
      <c r="A22" t="s">
        <v>118</v>
      </c>
      <c r="B22" t="s">
        <v>122</v>
      </c>
      <c r="C22" t="s">
        <v>126</v>
      </c>
      <c r="D22" s="20">
        <v>20.350000000000001</v>
      </c>
    </row>
    <row r="23" spans="1:6">
      <c r="A23" t="s">
        <v>119</v>
      </c>
      <c r="B23" t="s">
        <v>123</v>
      </c>
      <c r="C23" t="s">
        <v>87</v>
      </c>
      <c r="D23" s="22">
        <f>D22*Raw_Data!D5</f>
        <v>652380.30000000005</v>
      </c>
    </row>
    <row r="24" spans="1:6">
      <c r="A24" t="s">
        <v>120</v>
      </c>
      <c r="B24" t="s">
        <v>124</v>
      </c>
      <c r="C24" t="s">
        <v>87</v>
      </c>
      <c r="D24" s="22">
        <f>D23+D13</f>
        <v>826729.3</v>
      </c>
    </row>
    <row r="25" spans="1:6">
      <c r="A25" t="s">
        <v>121</v>
      </c>
      <c r="B25" t="s">
        <v>125</v>
      </c>
      <c r="C25" t="s">
        <v>105</v>
      </c>
      <c r="D25" s="21">
        <f>D24/D6</f>
        <v>11.549724783459068</v>
      </c>
    </row>
    <row r="26" spans="1:6" ht="43.2">
      <c r="A26" t="s">
        <v>127</v>
      </c>
      <c r="B26" s="12" t="s">
        <v>129</v>
      </c>
      <c r="C26" t="s">
        <v>87</v>
      </c>
      <c r="D26" s="20">
        <v>866000</v>
      </c>
    </row>
    <row r="27" spans="1:6" ht="28.8">
      <c r="A27" t="s">
        <v>128</v>
      </c>
      <c r="B27" s="12" t="s">
        <v>130</v>
      </c>
      <c r="C27" t="s">
        <v>105</v>
      </c>
      <c r="D27" s="17">
        <f>D26/D6</f>
        <v>12.098351494830958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Source</vt:lpstr>
      <vt:lpstr>Raw_Data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2026-10-24T04:21:25Z</dcterms:modified>
</cp:coreProperties>
</file>