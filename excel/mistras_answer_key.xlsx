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thu\Projects\pe-deal-screening-engine\excel\"/>
    </mc:Choice>
  </mc:AlternateContent>
  <xr:revisionPtr revIDLastSave="0" documentId="13_ncr:1_{2B246FA3-883B-440D-849B-9EC8F22B5685}" xr6:coauthVersionLast="47" xr6:coauthVersionMax="47" xr10:uidLastSave="{00000000-0000-0000-0000-000000000000}"/>
  <bookViews>
    <workbookView xWindow="-108" yWindow="-108" windowWidth="23256" windowHeight="12456" activeTab="2" xr2:uid="{86B3820A-0EC3-49A7-AC89-EEF969BD1741}"/>
  </bookViews>
  <sheets>
    <sheet name="Source" sheetId="1" r:id="rId1"/>
    <sheet name="Raw_Data" sheetId="2" r:id="rId2"/>
    <sheet name="Calculatio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1" i="3" l="1"/>
  <c r="F11" i="3"/>
  <c r="D11" i="3"/>
  <c r="E10" i="3"/>
  <c r="F10" i="3"/>
  <c r="D10" i="3"/>
  <c r="E9" i="3"/>
  <c r="F9" i="3"/>
  <c r="D9" i="3"/>
  <c r="E8" i="3"/>
  <c r="D8" i="3"/>
  <c r="E7" i="3"/>
  <c r="F7" i="3"/>
  <c r="D7" i="3"/>
  <c r="E6" i="3"/>
  <c r="F6" i="3"/>
  <c r="D6" i="3"/>
</calcChain>
</file>

<file path=xl/sharedStrings.xml><?xml version="1.0" encoding="utf-8"?>
<sst xmlns="http://schemas.openxmlformats.org/spreadsheetml/2006/main" count="131" uniqueCount="99">
  <si>
    <t>Field</t>
  </si>
  <si>
    <t>Value</t>
  </si>
  <si>
    <t>Company</t>
  </si>
  <si>
    <t>Mistras Group, Inc.</t>
  </si>
  <si>
    <t>Ticker</t>
  </si>
  <si>
    <t>MG</t>
  </si>
  <si>
    <t>CIK</t>
  </si>
  <si>
    <t>Form</t>
  </si>
  <si>
    <t>10-K</t>
  </si>
  <si>
    <t>Filing date</t>
  </si>
  <si>
    <t>0001628280-26-016765</t>
  </si>
  <si>
    <t>SIC code</t>
  </si>
  <si>
    <t>Units</t>
  </si>
  <si>
    <t>USD thousands, as reported in the 10-K</t>
  </si>
  <si>
    <t>Filing URL</t>
  </si>
  <si>
    <t>Purpose</t>
  </si>
  <si>
    <t>Fiscal Year end</t>
  </si>
  <si>
    <t>Accession Number</t>
  </si>
  <si>
    <t>8711-Services-Engineering Services</t>
  </si>
  <si>
    <t>EDGAR Filing Documents for 0001628280-26-016765</t>
  </si>
  <si>
    <t>Manual answer key for validating Python calculations. Under announced acquisition (Sept 2026), so excluded from the screen</t>
  </si>
  <si>
    <t>0001436126</t>
  </si>
  <si>
    <t>2025-12-31</t>
  </si>
  <si>
    <t>2026-03-11</t>
  </si>
  <si>
    <t>Variable</t>
  </si>
  <si>
    <t>Description</t>
  </si>
  <si>
    <t>Statement</t>
  </si>
  <si>
    <t>FY2025</t>
  </si>
  <si>
    <t>FY2024</t>
  </si>
  <si>
    <t>FY2023</t>
  </si>
  <si>
    <t>Source line label in 10-K</t>
  </si>
  <si>
    <t>revenue</t>
  </si>
  <si>
    <t>Total revenue</t>
  </si>
  <si>
    <t>Income statement</t>
  </si>
  <si>
    <t>operating_income</t>
  </si>
  <si>
    <t>Operating income</t>
  </si>
  <si>
    <t>interest_expense</t>
  </si>
  <si>
    <t>Interest expense</t>
  </si>
  <si>
    <t>diluted_shares</t>
  </si>
  <si>
    <t>Weighted avg. diluted shares</t>
  </si>
  <si>
    <t>d_and_a</t>
  </si>
  <si>
    <t>Depreciation &amp; amortization</t>
  </si>
  <si>
    <t>Cash flow</t>
  </si>
  <si>
    <t>cfo</t>
  </si>
  <si>
    <t>Cash from operations</t>
  </si>
  <si>
    <t>capex</t>
  </si>
  <si>
    <t>Capital expenditures</t>
  </si>
  <si>
    <t>acquisitions_paid</t>
  </si>
  <si>
    <t>Cash paid for acquisitions</t>
  </si>
  <si>
    <t>cash</t>
  </si>
  <si>
    <t>Cash &amp; cash equivalents</t>
  </si>
  <si>
    <t>Balance sheet</t>
  </si>
  <si>
    <t>short_term_debt</t>
  </si>
  <si>
    <t>Short-term debt incl. current portion of LTD</t>
  </si>
  <si>
    <t>long_term_debt</t>
  </si>
  <si>
    <t>Long-term debt, non-current</t>
  </si>
  <si>
    <t>stockholders_equity</t>
  </si>
  <si>
    <t>Total stockholders' equity</t>
  </si>
  <si>
    <t>accounts_receivable</t>
  </si>
  <si>
    <t>Accounts receivable, net</t>
  </si>
  <si>
    <t>goodwill</t>
  </si>
  <si>
    <t>Goodwill</t>
  </si>
  <si>
    <t>n/a</t>
  </si>
  <si>
    <t>Revenue</t>
  </si>
  <si>
    <t>Income (loss) from operations</t>
  </si>
  <si>
    <t>Weighted average common shares outstanding: Diluted (in shares)</t>
  </si>
  <si>
    <t>No acquisition line; investing section reconciles to total, so 0</t>
  </si>
  <si>
    <t>Net cash provided by operating activities</t>
  </si>
  <si>
    <t>Depreciation and amortization</t>
  </si>
  <si>
    <t xml:space="preserve">   Purchase of property, plant and equipment (excludes purchase of intangible assets 4,518 / 5,084 / 2,795 and finance-lease equipment 10,154 / 9,899 / 7,125)</t>
  </si>
  <si>
    <t>Cash and cash equivalents</t>
  </si>
  <si>
    <t>Current portion of long-term debt</t>
  </si>
  <si>
    <t>Long-term debt, net of current portion</t>
  </si>
  <si>
    <t>finance_lease_current</t>
  </si>
  <si>
    <t>Finance lease obligations, current</t>
  </si>
  <si>
    <t>finance_lease_noncurrent</t>
  </si>
  <si>
    <t>Finance lease obligations, non-current</t>
  </si>
  <si>
    <t>Current portion of finance lease obligations</t>
  </si>
  <si>
    <t>Obligations under finance leases, net of current portion</t>
  </si>
  <si>
    <t>Total Mistras Group, Inc. stockholders equity</t>
  </si>
  <si>
    <t>Assumptions</t>
  </si>
  <si>
    <t>Tax rate (for NOPAT)</t>
  </si>
  <si>
    <t>Include finance leases in debt? (1 = yes, 0 = no)</t>
  </si>
  <si>
    <t>Metric</t>
  </si>
  <si>
    <t>How calculated</t>
  </si>
  <si>
    <t>EBITDA</t>
  </si>
  <si>
    <t>Operating income + D&amp;A</t>
  </si>
  <si>
    <t>$000s</t>
  </si>
  <si>
    <t>EBITDA margin</t>
  </si>
  <si>
    <t>EBITDA / Revenue</t>
  </si>
  <si>
    <t>%</t>
  </si>
  <si>
    <t>Revenue growth (YoY)</t>
  </si>
  <si>
    <t>Revenue / prior-year revenue - 1</t>
  </si>
  <si>
    <t>Free cash flow</t>
  </si>
  <si>
    <t>CFO - CapEx</t>
  </si>
  <si>
    <t>FCF conversion</t>
  </si>
  <si>
    <t>FCF / EBITDA</t>
  </si>
  <si>
    <t>CapEx intensity</t>
  </si>
  <si>
    <t>CapEx /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</si>
</sst>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78" formatCode="0.0%"/>
  </numFmts>
  <fonts count="8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70C0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quotePrefix="1"/>
    <xf numFmtId="14" fontId="0" fillId="0" borderId="0" xfId="0" quotePrefix="1" applyNumberFormat="1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64" fontId="4" fillId="0" borderId="0" xfId="2" applyNumberFormat="1" applyFont="1" applyAlignment="1">
      <alignment vertical="center"/>
    </xf>
    <xf numFmtId="164" fontId="5" fillId="0" borderId="0" xfId="2" applyNumberFormat="1" applyFont="1" applyAlignment="1">
      <alignment vertical="center"/>
    </xf>
    <xf numFmtId="164" fontId="4" fillId="0" borderId="0" xfId="2" applyNumberFormat="1" applyFont="1"/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9" fontId="4" fillId="2" borderId="0" xfId="0" applyNumberFormat="1" applyFont="1" applyFill="1"/>
    <xf numFmtId="0" fontId="7" fillId="2" borderId="0" xfId="0" applyFont="1" applyFill="1"/>
    <xf numFmtId="178" fontId="0" fillId="0" borderId="0" xfId="3" applyNumberFormat="1" applyFont="1"/>
    <xf numFmtId="178" fontId="0" fillId="0" borderId="0" xfId="0" applyNumberFormat="1"/>
  </cellXfs>
  <cellStyles count="4">
    <cellStyle name="Comma" xfId="2" builtinId="3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Archives/edgar/data/1436126/000162828026016765/0001628280-26-016765-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DBDA-0A43-4B62-ACF2-60F209C07FC9}">
  <dimension ref="A1:B12"/>
  <sheetViews>
    <sheetView workbookViewId="0">
      <selection activeCell="B11" sqref="B11"/>
    </sheetView>
  </sheetViews>
  <sheetFormatPr defaultRowHeight="14.4"/>
  <cols>
    <col min="1" max="1" width="18" customWidth="1"/>
    <col min="2" max="2" width="99.109375" customWidth="1"/>
  </cols>
  <sheetData>
    <row r="1" spans="1:2">
      <c r="A1" s="2" t="s">
        <v>0</v>
      </c>
      <c r="B1" s="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s="4" t="s">
        <v>21</v>
      </c>
    </row>
    <row r="5" spans="1:2">
      <c r="A5" t="s">
        <v>7</v>
      </c>
      <c r="B5" t="s">
        <v>8</v>
      </c>
    </row>
    <row r="6" spans="1:2">
      <c r="A6" t="s">
        <v>16</v>
      </c>
      <c r="B6" s="5" t="s">
        <v>22</v>
      </c>
    </row>
    <row r="7" spans="1:2">
      <c r="A7" t="s">
        <v>9</v>
      </c>
      <c r="B7" s="5" t="s">
        <v>23</v>
      </c>
    </row>
    <row r="8" spans="1:2">
      <c r="A8" t="s">
        <v>17</v>
      </c>
      <c r="B8" t="s">
        <v>10</v>
      </c>
    </row>
    <row r="9" spans="1:2">
      <c r="A9" t="s">
        <v>11</v>
      </c>
      <c r="B9" t="s">
        <v>18</v>
      </c>
    </row>
    <row r="10" spans="1:2">
      <c r="A10" t="s">
        <v>12</v>
      </c>
      <c r="B10" t="s">
        <v>13</v>
      </c>
    </row>
    <row r="11" spans="1:2">
      <c r="A11" t="s">
        <v>14</v>
      </c>
      <c r="B11" s="3" t="s">
        <v>19</v>
      </c>
    </row>
    <row r="12" spans="1:2">
      <c r="A12" t="s">
        <v>15</v>
      </c>
      <c r="B12" t="s">
        <v>20</v>
      </c>
    </row>
  </sheetData>
  <hyperlinks>
    <hyperlink ref="B11" r:id="rId1" display="https://www.sec.gov/Archives/edgar/data/1436126/000162828026016765/0001628280-26-016765-index.html" xr:uid="{ED3494A4-BE9D-4FB3-826C-83C61DA4191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AFE2E-3FE7-491D-A73E-F0797282A0D5}">
  <dimension ref="A1:G17"/>
  <sheetViews>
    <sheetView workbookViewId="0">
      <selection activeCell="D6" sqref="D6"/>
    </sheetView>
  </sheetViews>
  <sheetFormatPr defaultRowHeight="14.4"/>
  <cols>
    <col min="1" max="1" width="17.77734375" bestFit="1" customWidth="1"/>
    <col min="2" max="2" width="35.44140625" bestFit="1" customWidth="1"/>
    <col min="3" max="3" width="15.5546875" bestFit="1" customWidth="1"/>
    <col min="4" max="6" width="11.21875" bestFit="1" customWidth="1"/>
    <col min="7" max="7" width="54.109375" customWidth="1"/>
  </cols>
  <sheetData>
    <row r="1" spans="1:7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</row>
    <row r="2" spans="1:7">
      <c r="A2" s="7" t="s">
        <v>31</v>
      </c>
      <c r="B2" s="7" t="s">
        <v>32</v>
      </c>
      <c r="C2" s="7" t="s">
        <v>33</v>
      </c>
      <c r="D2" s="8">
        <v>724024</v>
      </c>
      <c r="E2" s="8">
        <v>729640</v>
      </c>
      <c r="F2" s="8">
        <v>705473</v>
      </c>
      <c r="G2" s="7" t="s">
        <v>63</v>
      </c>
    </row>
    <row r="3" spans="1:7">
      <c r="A3" s="7" t="s">
        <v>34</v>
      </c>
      <c r="B3" s="7" t="s">
        <v>35</v>
      </c>
      <c r="C3" s="7" t="s">
        <v>33</v>
      </c>
      <c r="D3" s="8">
        <v>40572</v>
      </c>
      <c r="E3" s="8">
        <v>39826</v>
      </c>
      <c r="F3" s="8">
        <v>-1904</v>
      </c>
      <c r="G3" s="7" t="s">
        <v>64</v>
      </c>
    </row>
    <row r="4" spans="1:7">
      <c r="A4" s="7" t="s">
        <v>36</v>
      </c>
      <c r="B4" s="7" t="s">
        <v>37</v>
      </c>
      <c r="C4" s="7" t="s">
        <v>33</v>
      </c>
      <c r="D4" s="8">
        <v>14643</v>
      </c>
      <c r="E4" s="8">
        <v>17067</v>
      </c>
      <c r="F4" s="8">
        <v>16761</v>
      </c>
      <c r="G4" s="7" t="s">
        <v>37</v>
      </c>
    </row>
    <row r="5" spans="1:7">
      <c r="A5" s="7" t="s">
        <v>38</v>
      </c>
      <c r="B5" s="7" t="s">
        <v>39</v>
      </c>
      <c r="C5" s="7" t="s">
        <v>33</v>
      </c>
      <c r="D5" s="8">
        <v>32058</v>
      </c>
      <c r="E5" s="8">
        <v>31608</v>
      </c>
      <c r="F5" s="8">
        <v>30330</v>
      </c>
      <c r="G5" s="7" t="s">
        <v>65</v>
      </c>
    </row>
    <row r="6" spans="1:7">
      <c r="A6" s="7" t="s">
        <v>40</v>
      </c>
      <c r="B6" s="7" t="s">
        <v>41</v>
      </c>
      <c r="C6" s="7" t="s">
        <v>42</v>
      </c>
      <c r="D6" s="8">
        <v>31008</v>
      </c>
      <c r="E6" s="8">
        <v>33010</v>
      </c>
      <c r="F6" s="8">
        <v>34099</v>
      </c>
      <c r="G6" s="7" t="s">
        <v>68</v>
      </c>
    </row>
    <row r="7" spans="1:7">
      <c r="A7" s="7" t="s">
        <v>43</v>
      </c>
      <c r="B7" s="7" t="s">
        <v>44</v>
      </c>
      <c r="C7" s="7" t="s">
        <v>42</v>
      </c>
      <c r="D7" s="8">
        <v>32981</v>
      </c>
      <c r="E7" s="8">
        <v>50129</v>
      </c>
      <c r="F7" s="8">
        <v>26748</v>
      </c>
      <c r="G7" s="7" t="s">
        <v>67</v>
      </c>
    </row>
    <row r="8" spans="1:7" ht="43.2">
      <c r="A8" s="7" t="s">
        <v>45</v>
      </c>
      <c r="B8" s="7" t="s">
        <v>46</v>
      </c>
      <c r="C8" s="7" t="s">
        <v>42</v>
      </c>
      <c r="D8" s="8">
        <v>24674</v>
      </c>
      <c r="E8" s="8">
        <v>17902</v>
      </c>
      <c r="F8" s="8">
        <v>20854</v>
      </c>
      <c r="G8" s="11" t="s">
        <v>69</v>
      </c>
    </row>
    <row r="9" spans="1:7">
      <c r="A9" s="7" t="s">
        <v>47</v>
      </c>
      <c r="B9" s="7" t="s">
        <v>48</v>
      </c>
      <c r="C9" s="7" t="s">
        <v>42</v>
      </c>
      <c r="D9" s="8">
        <v>0</v>
      </c>
      <c r="E9" s="8">
        <v>0</v>
      </c>
      <c r="F9" s="8">
        <v>0</v>
      </c>
      <c r="G9" t="s">
        <v>66</v>
      </c>
    </row>
    <row r="10" spans="1:7">
      <c r="A10" s="7" t="s">
        <v>49</v>
      </c>
      <c r="B10" s="7" t="s">
        <v>50</v>
      </c>
      <c r="C10" s="7" t="s">
        <v>51</v>
      </c>
      <c r="D10" s="8">
        <v>28008</v>
      </c>
      <c r="E10" s="8">
        <v>18317</v>
      </c>
      <c r="F10" s="9" t="s">
        <v>62</v>
      </c>
      <c r="G10" s="7" t="s">
        <v>70</v>
      </c>
    </row>
    <row r="11" spans="1:7">
      <c r="A11" s="7" t="s">
        <v>52</v>
      </c>
      <c r="B11" s="7" t="s">
        <v>53</v>
      </c>
      <c r="C11" s="7" t="s">
        <v>51</v>
      </c>
      <c r="D11" s="8">
        <v>12849</v>
      </c>
      <c r="E11" s="8">
        <v>11591</v>
      </c>
      <c r="F11" s="9" t="s">
        <v>62</v>
      </c>
      <c r="G11" t="s">
        <v>71</v>
      </c>
    </row>
    <row r="12" spans="1:7">
      <c r="A12" s="7" t="s">
        <v>54</v>
      </c>
      <c r="B12" s="7" t="s">
        <v>55</v>
      </c>
      <c r="C12" s="7" t="s">
        <v>51</v>
      </c>
      <c r="D12" s="8">
        <v>165143</v>
      </c>
      <c r="E12" s="8">
        <v>158056</v>
      </c>
      <c r="F12" s="9" t="s">
        <v>62</v>
      </c>
      <c r="G12" t="s">
        <v>72</v>
      </c>
    </row>
    <row r="13" spans="1:7">
      <c r="A13" s="7" t="s">
        <v>56</v>
      </c>
      <c r="B13" s="7" t="s">
        <v>57</v>
      </c>
      <c r="C13" s="7" t="s">
        <v>51</v>
      </c>
      <c r="D13" s="8">
        <v>235104</v>
      </c>
      <c r="E13" s="8">
        <v>198568</v>
      </c>
      <c r="F13" s="9" t="s">
        <v>62</v>
      </c>
      <c r="G13" s="7" t="s">
        <v>79</v>
      </c>
    </row>
    <row r="14" spans="1:7">
      <c r="A14" s="7" t="s">
        <v>58</v>
      </c>
      <c r="B14" s="7" t="s">
        <v>59</v>
      </c>
      <c r="C14" s="7" t="s">
        <v>51</v>
      </c>
      <c r="D14" s="8">
        <v>154673</v>
      </c>
      <c r="E14" s="8">
        <v>127281</v>
      </c>
      <c r="F14" s="9" t="s">
        <v>62</v>
      </c>
      <c r="G14" s="7" t="s">
        <v>59</v>
      </c>
    </row>
    <row r="15" spans="1:7">
      <c r="A15" s="7" t="s">
        <v>60</v>
      </c>
      <c r="B15" s="7" t="s">
        <v>61</v>
      </c>
      <c r="C15" s="7" t="s">
        <v>51</v>
      </c>
      <c r="D15" s="8">
        <v>184829</v>
      </c>
      <c r="E15" s="10">
        <v>181442</v>
      </c>
      <c r="F15" s="9" t="s">
        <v>62</v>
      </c>
      <c r="G15" t="s">
        <v>61</v>
      </c>
    </row>
    <row r="16" spans="1:7" ht="28.8">
      <c r="A16" s="12" t="s">
        <v>73</v>
      </c>
      <c r="B16" s="12" t="s">
        <v>74</v>
      </c>
      <c r="C16" s="7" t="s">
        <v>51</v>
      </c>
      <c r="D16" s="8">
        <v>7025</v>
      </c>
      <c r="E16" s="10">
        <v>5317</v>
      </c>
      <c r="F16" s="9" t="s">
        <v>62</v>
      </c>
      <c r="G16" t="s">
        <v>77</v>
      </c>
    </row>
    <row r="17" spans="1:7" ht="28.8">
      <c r="A17" s="12" t="s">
        <v>75</v>
      </c>
      <c r="B17" t="s">
        <v>76</v>
      </c>
      <c r="C17" s="7" t="s">
        <v>51</v>
      </c>
      <c r="D17" s="8">
        <v>17340</v>
      </c>
      <c r="E17" s="8">
        <v>15162</v>
      </c>
      <c r="F17" s="9" t="s">
        <v>62</v>
      </c>
      <c r="G17" t="s">
        <v>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97A05-44FC-480D-A30B-4B4FB18F111E}">
  <dimension ref="A1:F11"/>
  <sheetViews>
    <sheetView tabSelected="1" workbookViewId="0">
      <selection activeCell="H15" sqref="H15"/>
    </sheetView>
  </sheetViews>
  <sheetFormatPr defaultRowHeight="14.4"/>
  <cols>
    <col min="1" max="1" width="30" customWidth="1"/>
    <col min="2" max="2" width="15.44140625" customWidth="1"/>
    <col min="4" max="4" width="22.44140625" customWidth="1"/>
    <col min="5" max="6" width="12.5546875" bestFit="1" customWidth="1"/>
  </cols>
  <sheetData>
    <row r="1" spans="1:6">
      <c r="A1" s="2" t="s">
        <v>80</v>
      </c>
    </row>
    <row r="2" spans="1:6">
      <c r="A2" t="s">
        <v>81</v>
      </c>
      <c r="D2" s="13">
        <v>0.25</v>
      </c>
    </row>
    <row r="3" spans="1:6" ht="28.8">
      <c r="A3" s="12" t="s">
        <v>82</v>
      </c>
      <c r="D3" s="14">
        <v>1</v>
      </c>
    </row>
    <row r="5" spans="1:6">
      <c r="A5" s="1" t="s">
        <v>83</v>
      </c>
      <c r="B5" s="1" t="s">
        <v>84</v>
      </c>
      <c r="C5" s="1" t="s">
        <v>12</v>
      </c>
      <c r="D5" s="1" t="s">
        <v>27</v>
      </c>
      <c r="E5" s="1" t="s">
        <v>28</v>
      </c>
      <c r="F5" s="1" t="s">
        <v>29</v>
      </c>
    </row>
    <row r="6" spans="1:6" ht="28.8">
      <c r="A6" t="s">
        <v>85</v>
      </c>
      <c r="B6" s="12" t="s">
        <v>86</v>
      </c>
      <c r="C6" t="s">
        <v>87</v>
      </c>
      <c r="D6">
        <f>Raw_Data!D3+Raw_Data!D6</f>
        <v>71580</v>
      </c>
      <c r="E6">
        <f>Raw_Data!E3+Raw_Data!E6</f>
        <v>72836</v>
      </c>
      <c r="F6">
        <f>Raw_Data!F3+Raw_Data!F6</f>
        <v>32195</v>
      </c>
    </row>
    <row r="7" spans="1:6">
      <c r="A7" t="s">
        <v>88</v>
      </c>
      <c r="B7" t="s">
        <v>89</v>
      </c>
      <c r="C7" t="s">
        <v>90</v>
      </c>
      <c r="D7" s="15">
        <f>D6/Raw_Data!D2</f>
        <v>9.8864126051070131E-2</v>
      </c>
      <c r="E7" s="15">
        <f>E6/Raw_Data!E2</f>
        <v>9.9824571021325581E-2</v>
      </c>
      <c r="F7" s="15">
        <f>F6/Raw_Data!F2</f>
        <v>4.5636048438423581E-2</v>
      </c>
    </row>
    <row r="8" spans="1:6" ht="28.8">
      <c r="A8" t="s">
        <v>91</v>
      </c>
      <c r="B8" s="12" t="s">
        <v>92</v>
      </c>
      <c r="C8" t="s">
        <v>90</v>
      </c>
      <c r="D8" s="15">
        <f>Raw_Data!D2/Raw_Data!E2-1</f>
        <v>-7.6969464393399356E-3</v>
      </c>
      <c r="E8" s="15">
        <f>Raw_Data!E2/Raw_Data!F2-1</f>
        <v>3.4256449219176366E-2</v>
      </c>
      <c r="F8" s="16" t="s">
        <v>62</v>
      </c>
    </row>
    <row r="9" spans="1:6">
      <c r="A9" t="s">
        <v>93</v>
      </c>
      <c r="B9" t="s">
        <v>94</v>
      </c>
      <c r="C9" t="s">
        <v>87</v>
      </c>
      <c r="D9">
        <f>Raw_Data!D7-Raw_Data!D8</f>
        <v>8307</v>
      </c>
      <c r="E9">
        <f>Raw_Data!E7-Raw_Data!E8</f>
        <v>32227</v>
      </c>
      <c r="F9">
        <f>Raw_Data!F7-Raw_Data!F8</f>
        <v>5894</v>
      </c>
    </row>
    <row r="10" spans="1:6">
      <c r="A10" t="s">
        <v>95</v>
      </c>
      <c r="B10" t="s">
        <v>96</v>
      </c>
      <c r="C10" t="s">
        <v>90</v>
      </c>
      <c r="D10" s="15">
        <f>D9/D6</f>
        <v>0.11605196982397317</v>
      </c>
      <c r="E10" s="15">
        <f t="shared" ref="E10:F10" si="0">E9/E6</f>
        <v>0.44245977263990333</v>
      </c>
      <c r="F10" s="15">
        <f t="shared" si="0"/>
        <v>0.1830719055753999</v>
      </c>
    </row>
    <row r="11" spans="1:6">
      <c r="A11" t="s">
        <v>97</v>
      </c>
      <c r="B11" t="s">
        <v>98</v>
      </c>
      <c r="C11" t="s">
        <v>90</v>
      </c>
      <c r="D11" s="15">
        <f>Raw_Data!D8/Raw_Data!D2</f>
        <v>3.4078980807266054E-2</v>
      </c>
      <c r="E11" s="15">
        <f>Raw_Data!E8/Raw_Data!E2</f>
        <v>2.453538731429198E-2</v>
      </c>
      <c r="F11" s="15">
        <f>Raw_Data!F8/Raw_Data!F2</f>
        <v>2.9560309182633495E-2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Source</vt:lpstr>
      <vt:lpstr>Raw_Data</vt:lpstr>
      <vt:lpstr>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Bollaboyana, Reethika</dc:creator>
  <cp:lastModifiedBy>Reethika Bollaboyana</cp:lastModifiedBy>
  <dcterms:created xsi:type="dcterms:W3CDTF">2026-10-03T18:45:21Z</dcterms:created>
  <dcterms:modified xsi:type="dcterms:W3CDTF">2026-10-24T03:16:25Z</dcterms:modified>
</cp:coreProperties>
</file>